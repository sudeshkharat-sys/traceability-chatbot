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ahindraonline-my.sharepoint.com/personal/25032676_mahindra_com/Documents/"/>
    </mc:Choice>
  </mc:AlternateContent>
  <xr:revisionPtr revIDLastSave="1" documentId="8_{3046704F-7971-431B-B796-CEE6FAAF2E3F}" xr6:coauthVersionLast="47" xr6:coauthVersionMax="47" xr10:uidLastSave="{2B435D2B-95E6-4982-8D00-F2C209F7A219}"/>
  <bookViews>
    <workbookView xWindow="-110" yWindow="-110" windowWidth="19420" windowHeight="11500" xr2:uid="{DD3A0944-8842-4211-845C-EE37A64082C7}"/>
  </bookViews>
  <sheets>
    <sheet name="Main- Sheet" sheetId="1" r:id="rId1"/>
  </sheets>
  <definedNames>
    <definedName name="_xlnm._FilterDatabase" localSheetId="0" hidden="1">'Main- Sheet'!$A$1:$AP$286</definedName>
    <definedName name="_xlnm.Print_Area" localSheetId="0">'Main- Sheet'!$A$1:$AN$291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286" i="1" l="1"/>
  <c r="AF285" i="1"/>
  <c r="AF284" i="1"/>
  <c r="AF283" i="1"/>
  <c r="AM282" i="1"/>
  <c r="AF282" i="1"/>
  <c r="AF281" i="1"/>
  <c r="AM280" i="1"/>
  <c r="AF280" i="1"/>
  <c r="AM279" i="1"/>
  <c r="AJ279" i="1"/>
  <c r="AI279" i="1"/>
  <c r="AF279" i="1"/>
  <c r="AM278" i="1"/>
  <c r="AF278" i="1"/>
  <c r="AM277" i="1"/>
  <c r="AF277" i="1"/>
  <c r="AM276" i="1"/>
  <c r="AJ276" i="1"/>
  <c r="AI276" i="1"/>
  <c r="AF276" i="1"/>
  <c r="AM275" i="1"/>
  <c r="AJ275" i="1"/>
  <c r="AI275" i="1"/>
  <c r="AF275" i="1"/>
  <c r="AM274" i="1"/>
  <c r="AJ274" i="1"/>
  <c r="AI274" i="1"/>
  <c r="AF274" i="1"/>
  <c r="AM273" i="1"/>
  <c r="AF273" i="1"/>
  <c r="AM272" i="1"/>
  <c r="AF272" i="1"/>
  <c r="AM271" i="1"/>
  <c r="AF271" i="1"/>
  <c r="AM270" i="1"/>
  <c r="AF270" i="1"/>
  <c r="AM269" i="1"/>
  <c r="AF269" i="1"/>
  <c r="AM268" i="1"/>
  <c r="AF268" i="1"/>
  <c r="AM267" i="1"/>
  <c r="AF267" i="1"/>
  <c r="AM266" i="1"/>
  <c r="AF266" i="1"/>
  <c r="AM265" i="1"/>
  <c r="AJ265" i="1"/>
  <c r="AI265" i="1"/>
  <c r="AF265" i="1"/>
  <c r="AM264" i="1"/>
  <c r="AF264" i="1"/>
  <c r="AM263" i="1"/>
  <c r="AF263" i="1"/>
  <c r="AM262" i="1"/>
  <c r="AF262" i="1"/>
  <c r="AM261" i="1"/>
  <c r="AF261" i="1"/>
  <c r="AM260" i="1"/>
  <c r="AF260" i="1"/>
  <c r="AM259" i="1"/>
  <c r="AF259" i="1"/>
  <c r="AM258" i="1"/>
  <c r="AJ258" i="1"/>
  <c r="AI258" i="1"/>
  <c r="AF258" i="1"/>
  <c r="AM257" i="1"/>
  <c r="AF257" i="1"/>
  <c r="AM256" i="1"/>
  <c r="AF256" i="1"/>
  <c r="AM255" i="1"/>
  <c r="AF255" i="1"/>
  <c r="AM254" i="1"/>
  <c r="AF254" i="1"/>
  <c r="AM253" i="1"/>
  <c r="AF253" i="1"/>
  <c r="AM252" i="1"/>
  <c r="AF252" i="1"/>
  <c r="AM251" i="1"/>
  <c r="AJ251" i="1"/>
  <c r="AI251" i="1"/>
  <c r="AF251" i="1"/>
  <c r="AM250" i="1"/>
  <c r="AF250" i="1"/>
  <c r="AM249" i="1"/>
  <c r="AF249" i="1"/>
  <c r="AM248" i="1"/>
  <c r="AF248" i="1"/>
  <c r="AM247" i="1"/>
  <c r="AF247" i="1"/>
  <c r="AM246" i="1"/>
  <c r="AF246" i="1"/>
  <c r="AM245" i="1"/>
  <c r="AF245" i="1"/>
  <c r="AM244" i="1"/>
  <c r="AF244" i="1"/>
  <c r="AM243" i="1"/>
  <c r="AF243" i="1"/>
  <c r="AM242" i="1"/>
  <c r="AF242" i="1"/>
  <c r="AM241" i="1"/>
  <c r="AF241" i="1"/>
  <c r="AM240" i="1"/>
  <c r="AF240" i="1"/>
  <c r="AM239" i="1"/>
  <c r="AF239" i="1"/>
  <c r="AM238" i="1"/>
  <c r="AF238" i="1"/>
  <c r="AM237" i="1"/>
  <c r="AF237" i="1"/>
  <c r="AM236" i="1"/>
  <c r="AF236" i="1"/>
  <c r="AM235" i="1"/>
  <c r="AF235" i="1"/>
  <c r="AM234" i="1"/>
  <c r="AF234" i="1"/>
  <c r="AM233" i="1"/>
  <c r="AF233" i="1"/>
  <c r="AM232" i="1"/>
  <c r="AF232" i="1"/>
  <c r="AM231" i="1"/>
  <c r="AF231" i="1"/>
  <c r="AM230" i="1"/>
  <c r="AF230" i="1"/>
  <c r="AM229" i="1"/>
  <c r="AM228" i="1"/>
  <c r="AF228" i="1"/>
  <c r="AM227" i="1"/>
  <c r="AF227" i="1"/>
  <c r="AM226" i="1"/>
  <c r="AM225" i="1"/>
  <c r="AF225" i="1"/>
  <c r="AM224" i="1"/>
  <c r="AF224" i="1"/>
  <c r="AM223" i="1"/>
  <c r="AF223" i="1"/>
  <c r="AM222" i="1"/>
  <c r="AM221" i="1"/>
  <c r="AF221" i="1"/>
  <c r="AM220" i="1"/>
  <c r="AF220" i="1"/>
  <c r="AM219" i="1"/>
  <c r="AF219" i="1"/>
  <c r="AM218" i="1"/>
  <c r="AF218" i="1"/>
  <c r="AM217" i="1"/>
  <c r="AF217" i="1"/>
  <c r="AM216" i="1"/>
  <c r="AF216" i="1"/>
  <c r="AM215" i="1"/>
  <c r="AF215" i="1"/>
  <c r="AM214" i="1"/>
  <c r="AF214" i="1"/>
  <c r="AM213" i="1"/>
  <c r="AF213" i="1"/>
  <c r="AM212" i="1"/>
  <c r="AF212" i="1"/>
  <c r="AM211" i="1"/>
  <c r="AF211" i="1"/>
  <c r="AM210" i="1"/>
  <c r="AF210" i="1"/>
  <c r="AM209" i="1"/>
  <c r="AF209" i="1"/>
  <c r="AM208" i="1"/>
  <c r="AJ208" i="1"/>
  <c r="AI208" i="1"/>
  <c r="AF208" i="1"/>
  <c r="AM207" i="1"/>
  <c r="AJ207" i="1"/>
  <c r="AI207" i="1"/>
  <c r="AF207" i="1"/>
  <c r="AM206" i="1"/>
  <c r="AF206" i="1"/>
  <c r="AM205" i="1"/>
  <c r="AF205" i="1"/>
  <c r="AM204" i="1"/>
  <c r="AF204" i="1"/>
  <c r="AM203" i="1"/>
  <c r="AF203" i="1"/>
  <c r="AM202" i="1"/>
  <c r="AF202" i="1"/>
  <c r="AM201" i="1"/>
  <c r="AF201" i="1"/>
  <c r="AM200" i="1"/>
  <c r="AF200" i="1"/>
  <c r="AM199" i="1"/>
  <c r="AF199" i="1"/>
  <c r="AM198" i="1"/>
  <c r="AF198" i="1"/>
  <c r="AM197" i="1"/>
  <c r="AF197" i="1"/>
  <c r="AM196" i="1"/>
  <c r="AF196" i="1"/>
  <c r="AM195" i="1"/>
  <c r="AF195" i="1"/>
  <c r="AM194" i="1"/>
  <c r="AF194" i="1"/>
  <c r="AM193" i="1"/>
  <c r="AF193" i="1"/>
  <c r="AM192" i="1"/>
  <c r="AF192" i="1"/>
  <c r="AM191" i="1"/>
  <c r="AF191" i="1"/>
  <c r="AM190" i="1"/>
  <c r="AF190" i="1"/>
  <c r="AM189" i="1"/>
  <c r="AF189" i="1"/>
  <c r="AK188" i="1"/>
  <c r="AM188" i="1" s="1"/>
  <c r="AF188" i="1"/>
  <c r="AK187" i="1"/>
  <c r="AM187" i="1" s="1"/>
  <c r="AF187" i="1"/>
  <c r="AM186" i="1"/>
  <c r="AK186" i="1"/>
  <c r="AF186" i="1"/>
  <c r="AM185" i="1"/>
  <c r="AF185" i="1"/>
  <c r="AM184" i="1"/>
  <c r="AF184" i="1"/>
  <c r="AM183" i="1"/>
  <c r="AF183" i="1"/>
  <c r="AM182" i="1"/>
  <c r="AF182" i="1"/>
  <c r="AM181" i="1"/>
  <c r="AF181" i="1"/>
  <c r="AM180" i="1"/>
  <c r="AF180" i="1"/>
  <c r="AM179" i="1"/>
  <c r="AF179" i="1"/>
  <c r="AM178" i="1"/>
  <c r="AF178" i="1"/>
  <c r="AM177" i="1"/>
  <c r="AF177" i="1"/>
  <c r="AM176" i="1"/>
  <c r="AF176" i="1"/>
  <c r="AM175" i="1"/>
  <c r="AF175" i="1"/>
  <c r="AM174" i="1"/>
  <c r="AF174" i="1"/>
  <c r="AM173" i="1"/>
  <c r="AF173" i="1"/>
  <c r="AM172" i="1"/>
  <c r="AF172" i="1"/>
  <c r="AM171" i="1"/>
  <c r="AF171" i="1"/>
  <c r="AM170" i="1"/>
  <c r="AF170" i="1"/>
  <c r="AM169" i="1"/>
  <c r="AF169" i="1"/>
  <c r="AM168" i="1"/>
  <c r="AF168" i="1"/>
  <c r="AM167" i="1"/>
  <c r="AF167" i="1"/>
  <c r="AM166" i="1"/>
  <c r="AF166" i="1"/>
  <c r="AM165" i="1"/>
  <c r="AF165" i="1"/>
  <c r="AM164" i="1"/>
  <c r="AF164" i="1"/>
  <c r="AM163" i="1"/>
  <c r="AF163" i="1"/>
  <c r="AM162" i="1"/>
  <c r="AF162" i="1"/>
  <c r="AM161" i="1"/>
  <c r="AF161" i="1"/>
  <c r="AM160" i="1"/>
  <c r="AF160" i="1"/>
  <c r="AM159" i="1"/>
  <c r="AF159" i="1"/>
  <c r="AM158" i="1"/>
  <c r="AF158" i="1"/>
  <c r="AM157" i="1"/>
  <c r="AF157" i="1"/>
  <c r="AM156" i="1"/>
  <c r="AF156" i="1"/>
  <c r="AM155" i="1"/>
  <c r="AF155" i="1"/>
  <c r="AM154" i="1"/>
  <c r="AF154" i="1"/>
  <c r="AM153" i="1"/>
  <c r="AF153" i="1"/>
  <c r="AM152" i="1"/>
  <c r="AF152" i="1"/>
  <c r="AM151" i="1"/>
  <c r="AF151" i="1"/>
  <c r="AM150" i="1"/>
  <c r="AJ150" i="1"/>
  <c r="AI150" i="1"/>
  <c r="AF150" i="1"/>
  <c r="AM149" i="1"/>
  <c r="AF149" i="1"/>
  <c r="AM148" i="1"/>
  <c r="AF148" i="1"/>
  <c r="AM147" i="1"/>
  <c r="AF147" i="1"/>
  <c r="AM146" i="1"/>
  <c r="AF146" i="1"/>
  <c r="AM145" i="1"/>
  <c r="AF145" i="1"/>
  <c r="AM144" i="1"/>
  <c r="AF144" i="1"/>
  <c r="AM143" i="1"/>
  <c r="AF143" i="1"/>
  <c r="AM142" i="1"/>
  <c r="AF142" i="1"/>
  <c r="AH141" i="1"/>
  <c r="AM141" i="1" s="1"/>
  <c r="AF141" i="1"/>
  <c r="AH140" i="1"/>
  <c r="AM140" i="1" s="1"/>
  <c r="AF140" i="1"/>
  <c r="AK139" i="1"/>
  <c r="AM139" i="1" s="1"/>
  <c r="AF139" i="1"/>
  <c r="AM138" i="1"/>
  <c r="AF138" i="1"/>
  <c r="AM137" i="1"/>
  <c r="AF137" i="1"/>
  <c r="AM136" i="1"/>
  <c r="AF136" i="1"/>
  <c r="AJ135" i="1"/>
  <c r="AI135" i="1"/>
  <c r="AH135" i="1"/>
  <c r="AM135" i="1" s="1"/>
  <c r="AF135" i="1"/>
  <c r="AM134" i="1"/>
  <c r="AF134" i="1"/>
  <c r="AH133" i="1"/>
  <c r="AM133" i="1" s="1"/>
  <c r="AF133" i="1"/>
  <c r="AH132" i="1"/>
  <c r="AM132" i="1" s="1"/>
  <c r="AF132" i="1"/>
  <c r="AM131" i="1"/>
  <c r="AF131" i="1"/>
  <c r="AJ130" i="1"/>
  <c r="AI130" i="1"/>
  <c r="AH130" i="1"/>
  <c r="AM130" i="1" s="1"/>
  <c r="AF130" i="1"/>
  <c r="AM129" i="1"/>
  <c r="AF129" i="1"/>
  <c r="AH128" i="1"/>
  <c r="AM128" i="1" s="1"/>
  <c r="AF128" i="1"/>
  <c r="AK127" i="1"/>
  <c r="AM127" i="1" s="1"/>
  <c r="AF127" i="1"/>
  <c r="AM126" i="1"/>
  <c r="AF126" i="1"/>
  <c r="AM125" i="1"/>
  <c r="AF125" i="1"/>
  <c r="AM124" i="1"/>
  <c r="AF124" i="1"/>
  <c r="AJ123" i="1"/>
  <c r="AI123" i="1"/>
  <c r="AH123" i="1"/>
  <c r="AM123" i="1" s="1"/>
  <c r="AF123" i="1"/>
  <c r="AM122" i="1"/>
  <c r="AF122" i="1"/>
  <c r="AM121" i="1"/>
  <c r="AF121" i="1"/>
  <c r="AM120" i="1"/>
  <c r="AF120" i="1"/>
  <c r="AM119" i="1"/>
  <c r="AF119" i="1"/>
  <c r="AM118" i="1"/>
  <c r="AF118" i="1"/>
  <c r="AM117" i="1"/>
  <c r="AF117" i="1"/>
  <c r="AF116" i="1"/>
  <c r="AH115" i="1"/>
  <c r="AM115" i="1" s="1"/>
  <c r="AF115" i="1"/>
  <c r="AM114" i="1"/>
  <c r="AF114" i="1"/>
  <c r="AH113" i="1"/>
  <c r="AM113" i="1" s="1"/>
  <c r="AF113" i="1"/>
  <c r="AF112" i="1"/>
  <c r="AF111" i="1"/>
  <c r="AF110" i="1"/>
  <c r="AF109" i="1"/>
  <c r="AF108" i="1"/>
  <c r="AF107" i="1"/>
  <c r="AF106" i="1"/>
  <c r="AJ105" i="1"/>
  <c r="AI105" i="1"/>
  <c r="AF105" i="1"/>
  <c r="AF104" i="1"/>
  <c r="AJ103" i="1"/>
  <c r="AI103" i="1"/>
  <c r="AF103" i="1"/>
  <c r="AM102" i="1"/>
  <c r="AJ102" i="1"/>
  <c r="AI102" i="1"/>
  <c r="AF102" i="1"/>
  <c r="AF101" i="1"/>
  <c r="AF100" i="1"/>
  <c r="AF99" i="1"/>
  <c r="AF98" i="1"/>
  <c r="AF97" i="1"/>
  <c r="AF96" i="1"/>
  <c r="AF95" i="1"/>
  <c r="AF94" i="1"/>
  <c r="AF93" i="1"/>
  <c r="AF92" i="1"/>
  <c r="AJ91" i="1"/>
  <c r="AI91"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PRITAM BANSOD</author>
    <author>tc={39759749-7B5E-4B80-AF12-F073BAFB3AFA}</author>
    <author>tc={2CAF7E4C-6097-4B1F-9D7B-D4E1CF6B23D4}</author>
    <author>tc={472DFADD-BB88-4FD9-AE75-B99CBAAAF386}</author>
    <author>tc={BFFD48AC-6066-43F4-815B-FCE18E474722}</author>
    <author>DESHPANDE ADITYA</author>
  </authors>
  <commentList>
    <comment ref="I40" authorId="0" shapeId="0" xr:uid="{A86418AF-527C-4ACB-A2D7-701A71F78665}">
      <text>
        <r>
          <rPr>
            <b/>
            <sz val="9"/>
            <color indexed="81"/>
            <rFont val="Tahoma"/>
            <family val="2"/>
          </rPr>
          <t>PRITAM BANSOD:</t>
        </r>
        <r>
          <rPr>
            <sz val="9"/>
            <color indexed="81"/>
            <rFont val="Tahoma"/>
            <family val="2"/>
          </rPr>
          <t xml:space="preserve">
Insurance case- Not under warranty </t>
        </r>
      </text>
    </comment>
    <comment ref="I76" authorId="1" shapeId="0" xr:uid="{39759749-7B5E-4B80-AF12-F073BAFB3AFA}">
      <text>
        <t xml:space="preserve">[Threaded comment]
Your version of Excel allows you to read this threaded comment; however, any edits to it will get removed if the file is opened in a newer version of Excel. Learn more: https://go.microsoft.com/fwlink/?linkid=870924
Comment:
    Top cover damage 
</t>
      </text>
    </comment>
    <comment ref="I91" authorId="2" shapeId="0" xr:uid="{2CAF7E4C-6097-4B1F-9D7B-D4E1CF6B23D4}">
      <text>
        <t xml:space="preserve">[Threaded comment]
Your version of Excel allows you to read this threaded comment; however, any edits to it will get removed if the file is opened in a newer version of Excel. Learn more: https://go.microsoft.com/fwlink/?linkid=870924
Comment:
    OCDC failure - Pyro Switch </t>
      </text>
    </comment>
    <comment ref="I100" authorId="3" shapeId="0" xr:uid="{472DFADD-BB88-4FD9-AE75-B99CBAAAF386}">
      <text>
        <t xml:space="preserve">[Threaded comment]
Your version of Excel allows you to read this threaded comment; however, any edits to it will get removed if the file is opened in a newer version of Excel. Learn more: https://go.microsoft.com/fwlink/?linkid=870924
Comment:
    Contractor weld - NSU and PSU change  - Under analysis </t>
      </text>
    </comment>
    <comment ref="I107" authorId="4" shapeId="0" xr:uid="{BFFD48AC-6066-43F4-815B-FCE18E474722}">
      <text>
        <t xml:space="preserve">[Threaded comment]
Your version of Excel allows you to read this threaded comment; however, any edits to it will get removed if the file is opened in a newer version of Excel. Learn more: https://go.microsoft.com/fwlink/?linkid=870924
Comment:
    IVT Failure - BDU MFG - 02 SEP
</t>
      </text>
    </comment>
    <comment ref="AC118" authorId="5" shapeId="0" xr:uid="{19ADD600-06FF-4C0D-A2FE-2E1ED63E6DA7}">
      <text>
        <r>
          <rPr>
            <b/>
            <sz val="9"/>
            <color indexed="81"/>
            <rFont val="Tahoma"/>
            <family val="2"/>
          </rPr>
          <t>DESHPANDE ADITYA:</t>
        </r>
        <r>
          <rPr>
            <sz val="9"/>
            <color indexed="81"/>
            <rFont val="Tahoma"/>
            <family val="2"/>
          </rPr>
          <t xml:space="preserve">
Oct-24 issue considered in Dec-24</t>
        </r>
      </text>
    </comment>
    <comment ref="AC126" authorId="5" shapeId="0" xr:uid="{E84B40BA-A153-4775-8759-76D967A7AA30}">
      <text>
        <r>
          <rPr>
            <b/>
            <sz val="9"/>
            <color indexed="81"/>
            <rFont val="Tahoma"/>
            <family val="2"/>
          </rPr>
          <t>DESHPANDE ADITYA:</t>
        </r>
        <r>
          <rPr>
            <sz val="9"/>
            <color indexed="81"/>
            <rFont val="Tahoma"/>
            <family val="2"/>
          </rPr>
          <t xml:space="preserve">
Oct-24 issue considered in Dec-24 Issue</t>
        </r>
      </text>
    </comment>
    <comment ref="Y127" authorId="0" shapeId="0" xr:uid="{B6EAADCF-A8F3-41F3-A51D-6A26367B5839}">
      <text>
        <r>
          <rPr>
            <b/>
            <sz val="9"/>
            <color indexed="81"/>
            <rFont val="Tahoma"/>
            <family val="2"/>
          </rPr>
          <t>PRITAM BANSOD:</t>
        </r>
        <r>
          <rPr>
            <sz val="9"/>
            <color indexed="81"/>
            <rFont val="Tahoma"/>
            <family val="2"/>
          </rPr>
          <t xml:space="preserve">
Cell Balancing Done</t>
        </r>
      </text>
    </comment>
    <comment ref="AC127" authorId="5" shapeId="0" xr:uid="{6C2297FF-680C-4BC3-B85F-094F2216950F}">
      <text>
        <r>
          <rPr>
            <b/>
            <sz val="9"/>
            <color indexed="81"/>
            <rFont val="Tahoma"/>
            <family val="2"/>
          </rPr>
          <t>DESHPANDE ADITYA:</t>
        </r>
        <r>
          <rPr>
            <sz val="9"/>
            <color indexed="81"/>
            <rFont val="Tahoma"/>
            <family val="2"/>
          </rPr>
          <t xml:space="preserve">
Sept 24 issue considered in dec-24 issue</t>
        </r>
      </text>
    </comment>
    <comment ref="I128" authorId="5" shapeId="0" xr:uid="{CC4A3D00-5400-4064-9269-8AD84F4DD859}">
      <text>
        <r>
          <rPr>
            <b/>
            <sz val="9"/>
            <color indexed="81"/>
            <rFont val="Tahoma"/>
            <family val="2"/>
          </rPr>
          <t>DESHPANDE ADITYA:</t>
        </r>
        <r>
          <rPr>
            <sz val="9"/>
            <color indexed="81"/>
            <rFont val="Tahoma"/>
            <family val="2"/>
          </rPr>
          <t xml:space="preserve">
Issue not mentioned in Yugdeep's sheet</t>
        </r>
      </text>
    </comment>
    <comment ref="I129" authorId="5" shapeId="0" xr:uid="{E1BCB6E1-1DA3-4987-88DD-90B02010E6A7}">
      <text>
        <r>
          <rPr>
            <b/>
            <sz val="9"/>
            <color indexed="81"/>
            <rFont val="Tahoma"/>
            <family val="2"/>
          </rPr>
          <t>DESHPANDE ADITYA:</t>
        </r>
        <r>
          <rPr>
            <sz val="9"/>
            <color indexed="81"/>
            <rFont val="Tahoma"/>
            <family val="2"/>
          </rPr>
          <t xml:space="preserve">
Cell to Cell short due to burr found between two cells.
</t>
        </r>
      </text>
    </comment>
    <comment ref="I134" authorId="5" shapeId="0" xr:uid="{F52A3971-3698-4AE3-968B-28A5073C3A55}">
      <text>
        <r>
          <rPr>
            <b/>
            <sz val="9"/>
            <color indexed="81"/>
            <rFont val="Tahoma"/>
            <family val="2"/>
          </rPr>
          <t>DESHPANDE ADITYA:</t>
        </r>
        <r>
          <rPr>
            <sz val="9"/>
            <color indexed="81"/>
            <rFont val="Tahoma"/>
            <family val="2"/>
          </rPr>
          <t xml:space="preserve">
CSC failure issue</t>
        </r>
      </text>
    </comment>
    <comment ref="AB137" authorId="0" shapeId="0" xr:uid="{A09D4000-A13B-40A5-A59E-7AC08424CF7A}">
      <text>
        <r>
          <rPr>
            <b/>
            <sz val="9"/>
            <color indexed="81"/>
            <rFont val="Tahoma"/>
            <family val="2"/>
          </rPr>
          <t>PRITAM BANSOD:</t>
        </r>
        <r>
          <rPr>
            <sz val="9"/>
            <color indexed="81"/>
            <rFont val="Tahoma"/>
            <family val="2"/>
          </rPr>
          <t xml:space="preserve">
To be confirm</t>
        </r>
      </text>
    </comment>
    <comment ref="I138" authorId="5" shapeId="0" xr:uid="{B0402674-A287-4F79-8E18-B85E823956EC}">
      <text>
        <r>
          <rPr>
            <b/>
            <sz val="9"/>
            <color indexed="81"/>
            <rFont val="Tahoma"/>
            <family val="2"/>
          </rPr>
          <t>DESHPANDE ADITYA:</t>
        </r>
        <r>
          <rPr>
            <sz val="9"/>
            <color indexed="81"/>
            <rFont val="Tahoma"/>
            <family val="2"/>
          </rPr>
          <t xml:space="preserve">
Issue is not present in Yugdeep's sheet</t>
        </r>
      </text>
    </comment>
    <comment ref="I139" authorId="5" shapeId="0" xr:uid="{F842EDCB-A3EA-43C1-BBF6-FA47A6DA048D}">
      <text>
        <r>
          <rPr>
            <b/>
            <sz val="9"/>
            <color indexed="81"/>
            <rFont val="Tahoma"/>
            <family val="2"/>
          </rPr>
          <t>DESHPANDE ADITYA:</t>
        </r>
        <r>
          <rPr>
            <sz val="9"/>
            <color indexed="81"/>
            <rFont val="Tahoma"/>
            <family val="2"/>
          </rPr>
          <t xml:space="preserve">
Issue not present in Yugdeep's sheet</t>
        </r>
      </text>
    </comment>
    <comment ref="AC139" authorId="5" shapeId="0" xr:uid="{7BB1ED9E-BF61-49BC-AC42-386B8C3745E4}">
      <text>
        <r>
          <rPr>
            <b/>
            <sz val="9"/>
            <color indexed="81"/>
            <rFont val="Tahoma"/>
            <family val="2"/>
          </rPr>
          <t>DESHPANDE ADITYA:</t>
        </r>
        <r>
          <rPr>
            <sz val="9"/>
            <color indexed="81"/>
            <rFont val="Tahoma"/>
            <family val="2"/>
          </rPr>
          <t xml:space="preserve">
Nov-24 issue considered in Dec-24</t>
        </r>
      </text>
    </comment>
    <comment ref="I146" authorId="5" shapeId="0" xr:uid="{B4E5DCF2-9637-494B-9BD4-4F47EA181618}">
      <text>
        <r>
          <rPr>
            <b/>
            <sz val="9"/>
            <color indexed="81"/>
            <rFont val="Tahoma"/>
            <family val="2"/>
          </rPr>
          <t>DESHPANDE ADITYA:</t>
        </r>
        <r>
          <rPr>
            <sz val="9"/>
            <color indexed="81"/>
            <rFont val="Tahoma"/>
            <family val="2"/>
          </rPr>
          <t xml:space="preserve">
Not available in yugdeep's sheet</t>
        </r>
      </text>
    </comment>
    <comment ref="I147" authorId="5" shapeId="0" xr:uid="{F6DE15F0-5F6E-4300-9A81-78BE918275EF}">
      <text>
        <r>
          <rPr>
            <b/>
            <sz val="9"/>
            <color indexed="81"/>
            <rFont val="Tahoma"/>
            <family val="2"/>
          </rPr>
          <t>DESHPANDE ADITYA:</t>
        </r>
        <r>
          <rPr>
            <sz val="9"/>
            <color indexed="81"/>
            <rFont val="Tahoma"/>
            <family val="2"/>
          </rPr>
          <t xml:space="preserve">
Not available in yugdeep's sheet</t>
        </r>
      </text>
    </comment>
    <comment ref="I148" authorId="5" shapeId="0" xr:uid="{48866236-967D-4C4A-B823-6F36E96617F9}">
      <text>
        <r>
          <rPr>
            <b/>
            <sz val="9"/>
            <color indexed="81"/>
            <rFont val="Tahoma"/>
            <family val="2"/>
          </rPr>
          <t>DESHPANDE ADITYA:</t>
        </r>
        <r>
          <rPr>
            <sz val="9"/>
            <color indexed="81"/>
            <rFont val="Tahoma"/>
            <family val="2"/>
          </rPr>
          <t xml:space="preserve">
Not available in yugdeep's sheet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2"/>
        </ext>
      </extLst>
    </bk>
    <bk>
      <extLst>
        <ext uri="{3e2802c4-a4d2-4d8b-9148-e3be6c30e623}">
          <xlrd:rvb i="24"/>
        </ext>
      </extLst>
    </bk>
    <bk>
      <extLst>
        <ext uri="{3e2802c4-a4d2-4d8b-9148-e3be6c30e623}">
          <xlrd:rvb i="35"/>
        </ext>
      </extLst>
    </bk>
    <bk>
      <extLst>
        <ext uri="{3e2802c4-a4d2-4d8b-9148-e3be6c30e623}">
          <xlrd:rvb i="47"/>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3"/>
        </ext>
      </extLst>
    </bk>
    <bk>
      <extLst>
        <ext uri="{3e2802c4-a4d2-4d8b-9148-e3be6c30e623}">
          <xlrd:rvb i="100"/>
        </ext>
      </extLst>
    </bk>
    <bk>
      <extLst>
        <ext uri="{3e2802c4-a4d2-4d8b-9148-e3be6c30e623}">
          <xlrd:rvb i="112"/>
        </ext>
      </extLst>
    </bk>
    <bk>
      <extLst>
        <ext uri="{3e2802c4-a4d2-4d8b-9148-e3be6c30e623}">
          <xlrd:rvb i="121"/>
        </ext>
      </extLst>
    </bk>
    <bk>
      <extLst>
        <ext uri="{3e2802c4-a4d2-4d8b-9148-e3be6c30e623}">
          <xlrd:rvb i="131"/>
        </ext>
      </extLst>
    </bk>
    <bk>
      <extLst>
        <ext uri="{3e2802c4-a4d2-4d8b-9148-e3be6c30e623}">
          <xlrd:rvb i="142"/>
        </ext>
      </extLst>
    </bk>
    <bk>
      <extLst>
        <ext uri="{3e2802c4-a4d2-4d8b-9148-e3be6c30e623}">
          <xlrd:rvb i="152"/>
        </ext>
      </extLst>
    </bk>
    <bk>
      <extLst>
        <ext uri="{3e2802c4-a4d2-4d8b-9148-e3be6c30e623}">
          <xlrd:rvb i="163"/>
        </ext>
      </extLst>
    </bk>
    <bk>
      <extLst>
        <ext uri="{3e2802c4-a4d2-4d8b-9148-e3be6c30e623}">
          <xlrd:rvb i="172"/>
        </ext>
      </extLst>
    </bk>
    <bk>
      <extLst>
        <ext uri="{3e2802c4-a4d2-4d8b-9148-e3be6c30e623}">
          <xlrd:rvb i="182"/>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<sst xmlns="http://schemas.openxmlformats.org/spreadsheetml/2006/main" count="5269" uniqueCount="1417">
  <si>
    <t>Added</t>
  </si>
  <si>
    <t>S.No</t>
  </si>
  <si>
    <t>Report Date</t>
  </si>
  <si>
    <t>Dealer Name and address</t>
  </si>
  <si>
    <t>Location</t>
  </si>
  <si>
    <t>State</t>
  </si>
  <si>
    <t>BRC location</t>
  </si>
  <si>
    <t>TAR No</t>
  </si>
  <si>
    <t>VIN Number</t>
  </si>
  <si>
    <t>Model</t>
  </si>
  <si>
    <t>Problem Description</t>
  </si>
  <si>
    <t>Tekline Name</t>
  </si>
  <si>
    <t>Failure Category (repair/Non repair/Accident/Flooded)</t>
  </si>
  <si>
    <t>RCA</t>
  </si>
  <si>
    <t>Remarks from BRC</t>
  </si>
  <si>
    <t>Warranty/
Insurance</t>
  </si>
  <si>
    <t>Reason of failure</t>
  </si>
  <si>
    <t>Battery/Motor</t>
  </si>
  <si>
    <t>PVT ID</t>
  </si>
  <si>
    <t>PVT S. No</t>
  </si>
  <si>
    <t>Cause-PVT list</t>
  </si>
  <si>
    <t>Remark-2 ( From Quality)</t>
  </si>
  <si>
    <t>Kms</t>
  </si>
  <si>
    <t>KM Range</t>
  </si>
  <si>
    <t>Repaired / Replaced</t>
  </si>
  <si>
    <t>Quality</t>
  </si>
  <si>
    <t>Repair Status</t>
  </si>
  <si>
    <t>Part updated</t>
  </si>
  <si>
    <t>Mfg month</t>
  </si>
  <si>
    <t>Reporting month</t>
  </si>
  <si>
    <t>Retail date</t>
  </si>
  <si>
    <t>No. of Days</t>
  </si>
  <si>
    <t>MIS</t>
  </si>
  <si>
    <t>Transport Cost ( Rs 20X distance from dealer to BRC X2)</t>
  </si>
  <si>
    <t>Dealer Manpower cost ( 8 hour X M cost)</t>
  </si>
  <si>
    <t>BRC repair manpoer cost ( 4.5 X M cost)</t>
  </si>
  <si>
    <t>Labour Cost ( Dealer- Battery remove and Fix) + ( BRC repair)</t>
  </si>
  <si>
    <t>NDP (Cost + 12%)</t>
  </si>
  <si>
    <t>Total Cost</t>
  </si>
  <si>
    <t>Failure mode</t>
  </si>
  <si>
    <t>15.12.2025</t>
  </si>
  <si>
    <t>Dealer end</t>
  </si>
  <si>
    <t>Delhi</t>
  </si>
  <si>
    <t>Dealer</t>
  </si>
  <si>
    <t>S6A85270</t>
  </si>
  <si>
    <t>BE 6 79</t>
  </si>
  <si>
    <t>Warranty</t>
  </si>
  <si>
    <t>Vent Valve</t>
  </si>
  <si>
    <t>HV Battery</t>
  </si>
  <si>
    <t>Vent Valve Replaced ( Water entry through vent valve)</t>
  </si>
  <si>
    <t>8-9K</t>
  </si>
  <si>
    <t>Repaired</t>
  </si>
  <si>
    <t>Yes</t>
  </si>
  <si>
    <t>-</t>
  </si>
  <si>
    <t>6 MIS</t>
  </si>
  <si>
    <t>USV</t>
  </si>
  <si>
    <t>S6C84384</t>
  </si>
  <si>
    <t>XEV 9e 79</t>
  </si>
  <si>
    <t>Haryana</t>
  </si>
  <si>
    <t xml:space="preserve">S6B88131 </t>
  </si>
  <si>
    <t>2-3K</t>
  </si>
  <si>
    <t>Punjab</t>
  </si>
  <si>
    <t>S6C85775</t>
  </si>
  <si>
    <t>S6A85386</t>
  </si>
  <si>
    <t>5-6K</t>
  </si>
  <si>
    <t>Gujrat</t>
  </si>
  <si>
    <t>S6B87969</t>
  </si>
  <si>
    <t>10-15K</t>
  </si>
  <si>
    <t>A. AUTOMOVERS PVT. LTD.</t>
  </si>
  <si>
    <t>CHINHUT</t>
  </si>
  <si>
    <t>Uttar Pradesh</t>
  </si>
  <si>
    <t>MSPT</t>
  </si>
  <si>
    <t>S6B88306</t>
  </si>
  <si>
    <t>SOC SUDDENLY GET DROPPED FROM 15 TO 0 PERCENTAGE SUDDENLY</t>
  </si>
  <si>
    <t xml:space="preserve">Battery failure and replaced with another pack </t>
  </si>
  <si>
    <t>Cell imbalance</t>
  </si>
  <si>
    <t>HV SOC sudden drop</t>
  </si>
  <si>
    <t>SOC drop</t>
  </si>
  <si>
    <t>HV SOC drop</t>
  </si>
  <si>
    <t>4-5K</t>
  </si>
  <si>
    <t>SOC</t>
  </si>
  <si>
    <t>S6B88672</t>
  </si>
  <si>
    <t>BMS Software issue ( Old SW)</t>
  </si>
  <si>
    <t>Old BMS SW version</t>
  </si>
  <si>
    <t>S6B88041</t>
  </si>
  <si>
    <t>9 MIS</t>
  </si>
  <si>
    <t>S6B87576</t>
  </si>
  <si>
    <t>7-8K</t>
  </si>
  <si>
    <t>West Bengal</t>
  </si>
  <si>
    <t>S6A86667</t>
  </si>
  <si>
    <t>0-1K</t>
  </si>
  <si>
    <t>S6B87340</t>
  </si>
  <si>
    <t>Maharashtra</t>
  </si>
  <si>
    <t>S6D89510</t>
  </si>
  <si>
    <t>3-4K</t>
  </si>
  <si>
    <t>S6D89129</t>
  </si>
  <si>
    <t>S6C85020</t>
  </si>
  <si>
    <t>6-7K</t>
  </si>
  <si>
    <t>Rajasthan</t>
  </si>
  <si>
    <t>S6C84884</t>
  </si>
  <si>
    <t>S6E94006</t>
  </si>
  <si>
    <t>3 MIS</t>
  </si>
  <si>
    <t>S6A86056</t>
  </si>
  <si>
    <t>S6D87307</t>
  </si>
  <si>
    <t>S6D89862</t>
  </si>
  <si>
    <t>Andhra Pradesh</t>
  </si>
  <si>
    <t>S6B88507</t>
  </si>
  <si>
    <t>15-20K</t>
  </si>
  <si>
    <t>S6E90834</t>
  </si>
  <si>
    <t>S6F83916</t>
  </si>
  <si>
    <t>S6C84575</t>
  </si>
  <si>
    <t>S6C84571</t>
  </si>
  <si>
    <t>S6E92202</t>
  </si>
  <si>
    <t>S6C85057</t>
  </si>
  <si>
    <t>S6E91774</t>
  </si>
  <si>
    <t>S6D87012</t>
  </si>
  <si>
    <t>Orissa</t>
  </si>
  <si>
    <t>S6D88844</t>
  </si>
  <si>
    <t>S6F94968</t>
  </si>
  <si>
    <t>S6B89998</t>
  </si>
  <si>
    <t>S6A86932</t>
  </si>
  <si>
    <t>S6B89645</t>
  </si>
  <si>
    <t>S6E90500</t>
  </si>
  <si>
    <t>1-2K</t>
  </si>
  <si>
    <t>NBS International</t>
  </si>
  <si>
    <t>S6B89246</t>
  </si>
  <si>
    <t>XEV 9E 79</t>
  </si>
  <si>
    <t>BMS Faulty</t>
  </si>
  <si>
    <t>BMS Hardware</t>
  </si>
  <si>
    <t>Contamination observed in BMS PCB</t>
  </si>
  <si>
    <t>TBC</t>
  </si>
  <si>
    <t>BMS</t>
  </si>
  <si>
    <t>Walk Home</t>
  </si>
  <si>
    <t>Data not available with BRC</t>
  </si>
  <si>
    <t xml:space="preserve">President Motors </t>
  </si>
  <si>
    <t>Other BRC</t>
  </si>
  <si>
    <t>S6A86939</t>
  </si>
  <si>
    <t>Auto World</t>
  </si>
  <si>
    <t>S6D87976</t>
  </si>
  <si>
    <t>Cell Puncture</t>
  </si>
  <si>
    <t>Cell Puncher</t>
  </si>
  <si>
    <t>Non Repairable</t>
  </si>
  <si>
    <t>Shital Motor</t>
  </si>
  <si>
    <t>S6D89896</t>
  </si>
  <si>
    <t xml:space="preserve">S6B88306 </t>
  </si>
  <si>
    <t>NA</t>
  </si>
  <si>
    <t>Vayalat Automobiles</t>
  </si>
  <si>
    <t>Cochin</t>
  </si>
  <si>
    <t>Kerala</t>
  </si>
  <si>
    <t>S6D87498</t>
  </si>
  <si>
    <t xml:space="preserve">DID with HVSD
VCU  P3516-00 BMS2 EV Warning lamp continuous ON 
BMS P30D9-00 Isolation fault negative contactor closed (B2,B3,B4) </t>
  </si>
  <si>
    <t>Vehicle moved to MSPT for analysis and found Module 2 &amp; 4the cell PET film damage leading to electrolyte seeming to be oozing out.
Also top cover seen with impregnation marks</t>
  </si>
  <si>
    <t>Replaced B/pack</t>
  </si>
  <si>
    <t>Cell voltage qualifier issue</t>
  </si>
  <si>
    <t>Row # 2773</t>
  </si>
  <si>
    <t>S6B87627</t>
  </si>
  <si>
    <t xml:space="preserve">Customer reported to dealer on April 6th 2025 evening EV MIL ON and SOC dropping quickly from 20%. </t>
  </si>
  <si>
    <t>Cell No 60 (ID 59) from Module 4 from NSU is seeing the abnormality where cell started creating more dV with sharp drop on voltage, moment RSOC goes 
below 19% where we also started seeing drop in SOC estimated by BMS where Avg. Discharge current seen during vehicle drive was 4A for approx., 
12mins where RSOC dropped from 20% to 2% (18% drop in SOC which corresponds to 33Ah where we have seen only &lt; 1Ah was actually discharged from 
pack) due to Cell no 60 (ID 59) which made Cell delta voltage deviation during Dynamic conditions between Min &amp; Max cell voltage to cross &gt;400mV 
which trigger L2 Derating with Charge &amp; Discharge current limited during driving, eventually at &lt; 1% SOC Cell no 60 (ID 59) gone below 2.4V also.</t>
  </si>
  <si>
    <t>MA1VP271BS6B89763</t>
  </si>
  <si>
    <t>Bajrang Motors</t>
  </si>
  <si>
    <t>Haldwani</t>
  </si>
  <si>
    <t>Uttarakhand</t>
  </si>
  <si>
    <t>S6B89215</t>
  </si>
  <si>
    <t>Repeated LV Charge Cycles noticed, EPT Team alerted &amp; Investigated, found BMS not going to Sleep Mode</t>
  </si>
  <si>
    <r>
      <t>BMS male side B connector IGN 17</t>
    </r>
    <r>
      <rPr>
        <vertAlign val="superscript"/>
        <sz val="8"/>
        <color rgb="FF000000"/>
        <rFont val="Aptos"/>
        <family val="2"/>
      </rPr>
      <t>th</t>
    </r>
    <r>
      <rPr>
        <sz val="8"/>
        <color rgb="FF000000"/>
        <rFont val="Aptos"/>
        <family val="2"/>
      </rPr>
      <t xml:space="preserve"> Pin got bend and IGN 17</t>
    </r>
    <r>
      <rPr>
        <vertAlign val="superscript"/>
        <sz val="8"/>
        <color rgb="FF000000"/>
        <rFont val="Aptos"/>
        <family val="2"/>
      </rPr>
      <t>th</t>
    </r>
    <r>
      <rPr>
        <sz val="8"/>
        <color rgb="FF000000"/>
        <rFont val="Aptos"/>
        <family val="2"/>
      </rPr>
      <t xml:space="preserve"> pin short with nearby KL30C circuits Pin No. 13,14 &amp; 18</t>
    </r>
  </si>
  <si>
    <t>Pack Replacement</t>
  </si>
  <si>
    <t>KL30C WH</t>
  </si>
  <si>
    <t>Pin Bend ( LV side)</t>
  </si>
  <si>
    <t>Available @ Mohali</t>
  </si>
  <si>
    <t>Param Automotive Ltd</t>
  </si>
  <si>
    <t>Ahmedabad</t>
  </si>
  <si>
    <t>S6A86404</t>
  </si>
  <si>
    <t xml:space="preserve">The following vehicle have concern of DC fast charging not working. – “High voltage disconnect” error coming up in DID.
</t>
  </si>
  <si>
    <t>MRV team attended the vehicle and suggested to replace the HV battery.
FC contactor welded and BMS raised Level-4 alarm-No 24.
But contactor weld only one time after that FC contactor opened and state changed. Why we need to change battery pack that need to understand from PD team.</t>
  </si>
  <si>
    <t>Replacing B/pack, new moved from Chakan
New Pack #- MMNL7APA001291</t>
  </si>
  <si>
    <t>FC contactor weld</t>
  </si>
  <si>
    <t>BMS HV Side Pin Bend</t>
  </si>
  <si>
    <t>BMS screwdriver</t>
  </si>
  <si>
    <t>Concept Automobile Pvt. Ltd.</t>
  </si>
  <si>
    <t>Noida</t>
  </si>
  <si>
    <t>S6C86554</t>
  </si>
  <si>
    <t>Ignition not getting on
Observation:- we have checked Vehicle and found concern is present  we have then checked LV battery voltage and found approx. 4.13 Volts and gravity 1100 for each cells replaced the same with new one after that ignition got on and checked front zonal software found P03 updated to P08 after that observed DTC in BMS and VCU.</t>
  </si>
  <si>
    <t>Cell voltage qualifier issue
Not at SW level, tried with the new SW, did not help
74 &amp; 75 cell showing voltage reading issue - Reading should be 3.29V but it is reading 2.97 &amp; 3.65 V and also compensating itself
Seems to be a tab welding issue at the CSC, can be ascertained post opening the pack</t>
  </si>
  <si>
    <t>CSC burnt
Internal current leakage in IC</t>
  </si>
  <si>
    <t>TVS Diode- Transient voltage</t>
  </si>
  <si>
    <t>CSC</t>
  </si>
  <si>
    <t>Caravel Motors</t>
  </si>
  <si>
    <t>Vadodara</t>
  </si>
  <si>
    <t>S6A86803</t>
  </si>
  <si>
    <t>Vehicle breakdown in RSA &amp;  Battery EV lamp ON and battery not charge SOC 1% .as per customer last battery charge 65% and run the vehicle 50 km and  after suddenly battery SOC down after that vehicle brake down then  we try to AC &amp; DC charge but vehicle did not charged.</t>
  </si>
  <si>
    <t>SOC drop due to the BMS clock issue</t>
  </si>
  <si>
    <t>Battery pack moved from Chakan for replacement</t>
  </si>
  <si>
    <t>Cell Balancing WIP. 12 Hrs pending</t>
  </si>
  <si>
    <t>Eram Motors</t>
  </si>
  <si>
    <t>Calicut</t>
  </si>
  <si>
    <t>S6D87246</t>
  </si>
  <si>
    <t xml:space="preserve">During the BMS software update, Pyro warning alert appeared in CID. This warning appeared when the software update reached approximately 94% completion. Despite this warning, the software update completed successfully. Pyro warning remain permanent. </t>
  </si>
  <si>
    <t>Post diagnosing, AC compressor is not communicating
Compressor internally short
LIN error, unable to draw any conclusion</t>
  </si>
  <si>
    <t>AC compressor being replaced</t>
  </si>
  <si>
    <t>Vent Valve replaced ( Suspect BDU also)</t>
  </si>
  <si>
    <t>Sonipat drive Mahindra pvt. Ltd</t>
  </si>
  <si>
    <t>Sonipat</t>
  </si>
  <si>
    <t>Mohali</t>
  </si>
  <si>
    <t>S6E91305</t>
  </si>
  <si>
    <t>Smart fuse blown- Stop car error</t>
  </si>
  <si>
    <t xml:space="preserve">BMS Level 3 - Critical error- 32.
BPCL fast charger has created some error during DC charging, details are not being shared
</t>
  </si>
  <si>
    <t>Battery pack replaced, Supplied from Mohali.
New B/pack number-MMNL7BDA012387</t>
  </si>
  <si>
    <t>Pyro open</t>
  </si>
  <si>
    <t>Pyro failure due to DC charging issue</t>
  </si>
  <si>
    <t>MA1VP271BS6E92904</t>
  </si>
  <si>
    <t>Both BDU</t>
  </si>
  <si>
    <t>Harbans Motors Pvt Ltd</t>
  </si>
  <si>
    <t>S6B90111</t>
  </si>
  <si>
    <t xml:space="preserve">Cell balancing issue </t>
  </si>
  <si>
    <t xml:space="preserve">Replacement battery updated in vehicle and vehicle cleared to dealer </t>
  </si>
  <si>
    <t>Completed, MSPT BRC</t>
  </si>
  <si>
    <t>Bikaner Motors</t>
  </si>
  <si>
    <t>S6D87631</t>
  </si>
  <si>
    <t xml:space="preserve">Pyro fuse blown </t>
  </si>
  <si>
    <t>New# MMNL7BDA012506</t>
  </si>
  <si>
    <t>OCDC</t>
  </si>
  <si>
    <t xml:space="preserve">MA1VP271BS6D87976 </t>
  </si>
  <si>
    <t>Shital Motors</t>
  </si>
  <si>
    <t>S6E90430</t>
  </si>
  <si>
    <t>P3515-00 ( BMS 2  EV Warning lamp blink),U21F9-20(Level 2 BMS contactor off error )P341B-00(HV BATTERY DISCONNECT INFORMATIN ERROR</t>
  </si>
  <si>
    <t>Cell 119 and 120 showing default value 5V, Found cell number 119 at 1.3V</t>
  </si>
  <si>
    <t>Replacing B/pack, new moved from Chakan
New Pack #- MMNL7ANA000521</t>
  </si>
  <si>
    <t>Cell Imbalance</t>
  </si>
  <si>
    <t>Sri Durga</t>
  </si>
  <si>
    <t>S6D89503</t>
  </si>
  <si>
    <t>Vehicle not moving. Error of Fault detected High voltage system disconnected is showing in IC.</t>
  </si>
  <si>
    <t>New Pack #- MMNL7BDA012383
B pack replaced due to cell no 12 &amp; 14 not holding capacity</t>
  </si>
  <si>
    <t>CSC burnt
High Transient voltage</t>
  </si>
  <si>
    <t>Landmark Mobility</t>
  </si>
  <si>
    <t>Hyderabad</t>
  </si>
  <si>
    <t>Telangana</t>
  </si>
  <si>
    <t>S6F95788</t>
  </si>
  <si>
    <t>Vehicles not getting drive ready.
On Saturday vehicle PDI was completed and given for ceramic coating. Today while trying to bring the vehicle outside to deliver to customer, it was not getting drive ready
Observation: we did the LV battery reset, Still the same issue is same</t>
  </si>
  <si>
    <t xml:space="preserve">BMS Reported “Cell voltage measurement plausibility Mod 5” &amp; “DEM_Cell_Voltage_Quality_Safety”
                             VCU reported “BMS2 EV Warning lamp blink”, “Level 2 BMS battery contactor off Error” &amp; “HV Battery disconnected information error”           </t>
  </si>
  <si>
    <t>Pack replacement</t>
  </si>
  <si>
    <t>Cell voltage measurement plausibility</t>
  </si>
  <si>
    <t>CSC burnt
Thermal crack</t>
  </si>
  <si>
    <t>Capacitor</t>
  </si>
  <si>
    <t>India Garage, Whitefield</t>
  </si>
  <si>
    <t>Karnataka</t>
  </si>
  <si>
    <t>S6E92904</t>
  </si>
  <si>
    <t>The vehicle gets off while running, and the SOC drops to 0%.</t>
  </si>
  <si>
    <t xml:space="preserve"> On 06/07/2025, noted twice BMS reported LVL3 error 
with reason “67”.
# Error reason - “IVT Measurement Error”
1st Incident : DC Charging triggered in IGN-ON condition, SOC top-up from 31.8 to 33.7%.
At 33.7% of SOC, BMS reported “IVT measurement Error”
2nd Incident : Vehicle been driven at high speed (&gt;90 kmph) from 33.7% SOC.
At 29.3% SOC, BMS reported “IVT measurement Error”.</t>
  </si>
  <si>
    <t>IVT sensor</t>
  </si>
  <si>
    <t>IVT Sensor Accuracy error</t>
  </si>
  <si>
    <t>MA1VP271BS6D89306</t>
  </si>
  <si>
    <t>Negative BDU</t>
  </si>
  <si>
    <t>Aditya Motors</t>
  </si>
  <si>
    <t>Cuttack</t>
  </si>
  <si>
    <t>S6F95066</t>
  </si>
  <si>
    <t>EV warning lamp blinks, Start enable not possible.
Critical fault detected showing in DID.
Action Taken-
DTC- P0B55-00,P30B5-A1(BMS)
P3515,U21F9,P341B(VCU)
B1700,B1722(CCM)</t>
  </si>
  <si>
    <t xml:space="preserve">During concern reported time BMS reported “ DemAsw_priDisEveCellUQltySfty_C”
In MIDA from BMS side below mentioned errors are in conformed state.
Cell voltage measurement plausibility Mod 6
Cell Voltage Qualifier error Safety
 </t>
  </si>
  <si>
    <t xml:space="preserve">1 case reported in Cuttack where vehicle got immobilized 
due to cell voltage quality safety error
➢ Cell voltage # 90 : 5 V
➢ Cell Voltage # 91 : 5 V
➢ Cell Voltage # 92 : 5 V
</t>
  </si>
  <si>
    <t>Cell voltage quality safety error</t>
  </si>
  <si>
    <t>Gurgaon</t>
  </si>
  <si>
    <t>S6B88386</t>
  </si>
  <si>
    <t>Vehicle reported at workshop with concern of a popup (critical fault detected stop the vehicle and contact Mahindra dealer) came during driving and vehicle had stooped after taking a shock.
We have checked and found no pop show in DID screen and also costumer has no photo or video of concern and he faced this from yesterday, also vehicle is in running condition.</t>
  </si>
  <si>
    <t xml:space="preserve">Water entry through vent valve cap </t>
  </si>
  <si>
    <t>vent valve replaced and same pack dried out</t>
  </si>
  <si>
    <t>MA1VP271BS6E90957</t>
  </si>
  <si>
    <t>Anant Cars</t>
  </si>
  <si>
    <t>Bangalore</t>
  </si>
  <si>
    <t>S6D89695</t>
  </si>
  <si>
    <t>SOC drop in idle condition from 100% to 77%</t>
  </si>
  <si>
    <t>BMS raised 1st error level-3 (36) which is related to Cell Voltage Qualifier error safety and after some time BMS raised level2 (64) (Battery Module under voltage_Stage2) and Level2 (66) Sum of Cell Voltage to Module Voltage plausibility Error_Stage2.</t>
  </si>
  <si>
    <t>CSC TVS Diode</t>
  </si>
  <si>
    <t>Anant Cars,Bangalore</t>
  </si>
  <si>
    <t>S6D89306</t>
  </si>
  <si>
    <t>This pack was triggered by R&amp;D for IVT sensor</t>
  </si>
  <si>
    <t>Pack to be replaced as per R&amp;D</t>
  </si>
  <si>
    <t>No</t>
  </si>
  <si>
    <t>WIP - BMS</t>
  </si>
  <si>
    <t>Goregaon</t>
  </si>
  <si>
    <t>S6E92374</t>
  </si>
  <si>
    <t>Critical Error appeared</t>
  </si>
  <si>
    <t>Module 7 , cell no 107 is continuously showing default voltage</t>
  </si>
  <si>
    <t>Battery Pack replaced as voltage showing default, CSC has concern. New B/Pack number - MMNL7BKA032003</t>
  </si>
  <si>
    <t>Ratnaprabha Motors</t>
  </si>
  <si>
    <t>Sambhaji Nagar</t>
  </si>
  <si>
    <t>S6A87134</t>
  </si>
  <si>
    <t>Critical fault detected</t>
  </si>
  <si>
    <t>Persistent Low Isolation Resistance in Standalone Battery Pack</t>
  </si>
  <si>
    <t>Battery pack replaced as IR test failure continuously</t>
  </si>
  <si>
    <t>9-10K</t>
  </si>
  <si>
    <t xml:space="preserve">Pack teardown for analysis </t>
  </si>
  <si>
    <t>AVC Bhatinda</t>
  </si>
  <si>
    <t>Bhatinda</t>
  </si>
  <si>
    <t>S6E92759</t>
  </si>
  <si>
    <t>Vehicle breakdown after jerk and "critical fault detected" warning showing on cluster</t>
  </si>
  <si>
    <t>Battery pack replaced as IR of the pack could not be recovered after 3 days.</t>
  </si>
  <si>
    <t>Sridurga Automobiles</t>
  </si>
  <si>
    <t>Rama Road Delhi</t>
  </si>
  <si>
    <t>S6A85552</t>
  </si>
  <si>
    <t>Vehicle reported to workshop for the concern of critical fault detected error coming in driver information display and vehicle getting stopped. MIDA was connected and DTC, Logs were taken</t>
  </si>
  <si>
    <t>Battery Pack replaced as IR could not be recovered</t>
  </si>
  <si>
    <t>Pack repaired &amp; fitted in same vehicle</t>
  </si>
  <si>
    <t>S6D86703</t>
  </si>
  <si>
    <t>Vehicle was towed to workshop for the concern of critical fault detected error coming in driver information display and vehicle getting stopped. MIDA was connected and DTC and Logs was taken which is attached. Vent valve was opened and found hole in it. IR values was checked and found 0.70 Mohm at pin no 1 and 1.42 Mohms at pin 2.</t>
  </si>
  <si>
    <t>IR failure, under analysis</t>
  </si>
  <si>
    <t>Battery pack to be replaced;
Old B Pack No: MMNL7BDA010192
New Battery Pack no: MMNL7BJA031381</t>
  </si>
  <si>
    <t>WIP - IR</t>
  </si>
  <si>
    <t>Concept Automobiles Pvt. Ltd.</t>
  </si>
  <si>
    <t>Noida Sec 59</t>
  </si>
  <si>
    <t>S6B88164</t>
  </si>
  <si>
    <r>
      <t xml:space="preserve">The standalone Isolation Resistance (IR) of the battery pack has remained consistently below acceptable levels for the past </t>
    </r>
    <r>
      <rPr>
        <sz val="8"/>
        <color theme="1"/>
        <rFont val="Aptos"/>
        <family val="2"/>
        <charset val="1"/>
      </rPr>
      <t>seven days, showing minimal signs of recovery.</t>
    </r>
  </si>
  <si>
    <t>Replaced B/pack with MMNL7BJA031323
Old B Pack No:: MMNL7BBA0054571</t>
  </si>
  <si>
    <t>KBS MOTORS PVT. LTD.</t>
  </si>
  <si>
    <t>Ambala</t>
  </si>
  <si>
    <t>S6D89935</t>
  </si>
  <si>
    <t>Vehicle Reported to workshop through RSA forth concern of Vehicle Stopped while Running -And Thereafter Vehicle Not Moves.
Checked Customer concern and Found it True.
Found EV Warning Lamp On and "Critical Fault Detected Shows in DID".
Checked Underbody , Battery Pack for any Damage etc But Found Non.
Coolant Level in EPT Degassing Tank Found aboveMax. &amp; HV Battery Degassing Tank Found Slightly below minimum ;level</t>
  </si>
  <si>
    <t>found hole in vent and breather plug
16-09-2025 as IR could no be recovered battery pack replaced</t>
  </si>
  <si>
    <t>Breather Plug changed
battery Pack replaced</t>
  </si>
  <si>
    <t>MA1VR271BS6J84596</t>
  </si>
  <si>
    <t>Utkal Automobile</t>
  </si>
  <si>
    <t>S6A84204</t>
  </si>
  <si>
    <t>Deep discharge</t>
  </si>
  <si>
    <t xml:space="preserve">It’s a cell deviation issue , Cell of HV battery cannot be revived after charging </t>
  </si>
  <si>
    <t>Trob Auto India Pvt Ltd</t>
  </si>
  <si>
    <t>Gurugram</t>
  </si>
  <si>
    <t>S6B88464</t>
  </si>
  <si>
    <t>Vehicle not getting into drive mode</t>
  </si>
  <si>
    <t>IR of the battery pack could not be recovered, electrolyte leakage</t>
  </si>
  <si>
    <t>B Pack Replaced MMNL7BFA021355
B pack changed as IR was lower than the limit</t>
  </si>
  <si>
    <t>Concept Automobile Pvt. Ltd</t>
  </si>
  <si>
    <t>S6D87289</t>
  </si>
  <si>
    <t>Vehicle reported to workshop on 18-09-2025. EV Warning Lamp On "Critical Fault Detected Shows in DID"</t>
  </si>
  <si>
    <t>Standalone IR measurement done for cony=tinous 3 days but it was found to be below the allowed limit.</t>
  </si>
  <si>
    <t>Battery pack to be replaced under warranty
Old B Pack No: MMNL7BDA010718
New B Pack No:MMNL7BJA031321</t>
  </si>
  <si>
    <t>Narain Automobile</t>
  </si>
  <si>
    <t>Lucknow</t>
  </si>
  <si>
    <t>S6B89911</t>
  </si>
  <si>
    <t>HV battery stand alone IR value is low and not recovering from last 2days</t>
  </si>
  <si>
    <t>Vent valve was suspected</t>
  </si>
  <si>
    <t>2. 20-9-25 Mail communication sent to Tekline for initiating insurance process for BP and once confirmed by Tekline, BP will be sent from MSPT</t>
  </si>
  <si>
    <t>Savan IB Auto</t>
  </si>
  <si>
    <t>Pune</t>
  </si>
  <si>
    <t>S6C85022</t>
  </si>
  <si>
    <t>SOC dropped from 20% to 2% within 4 kms, EV tell tell is on DTC -P30B9,P30BA,P30BB,P30B6,P30B7,P30B8</t>
  </si>
  <si>
    <t>2. 24.9.25- advised to replace bottom cover + screws and check for DTC and deliver the vehicle.</t>
  </si>
  <si>
    <t>Battery Pack Replacement suggested. New Pack# - MMNL7BKA032055</t>
  </si>
  <si>
    <t>Cell Balancing WIP. 50 Hrs pending</t>
  </si>
  <si>
    <t>Concept</t>
  </si>
  <si>
    <t>S6E93654</t>
  </si>
  <si>
    <t>Drive mode not enable</t>
  </si>
  <si>
    <t>Vehicle reported our workshop for the complaint of vehicle not take charging. We took the vehicle for charging and found that with in 5 min vehicles 100% from SOC 47%.
We took the vehicle for road test and found that vehicle break down three time
And vehicle breakdown in running condition and vehicle become neutral and EV lamp blink.</t>
  </si>
  <si>
    <t>Battery Pack to be replaced
New B Pack no: MMNL7BKA034872</t>
  </si>
  <si>
    <t>Concept,Noida</t>
  </si>
  <si>
    <t>S6F96612</t>
  </si>
  <si>
    <t>Battery Shunt Current Measurement status Error_ Safety</t>
  </si>
  <si>
    <t>Not clear yet as there are many fault DTC generated yet to conclude</t>
  </si>
  <si>
    <t>Battery pack to be replaced
New B Pack No:MMNL7BJA031384</t>
  </si>
  <si>
    <t>Eram Thrissur</t>
  </si>
  <si>
    <t>Thrissur</t>
  </si>
  <si>
    <t>S6C85129</t>
  </si>
  <si>
    <t>39 from Pack Cell sequencing from module 1. We need to arrange a replacement pack for this vehicle, as it was CSC level issue we can’t do any rework on this pack we need to send this pack to MRV</t>
  </si>
  <si>
    <t>As per COE new B/pack is getting dispatched from MSPT on 7-10-25 . New B/Pack Sent: MMNL7BBA005388</t>
  </si>
  <si>
    <t xml:space="preserve">Jain Cars &amp; Auto Sales </t>
  </si>
  <si>
    <t>Vellore</t>
  </si>
  <si>
    <t>S6A87058</t>
  </si>
  <si>
    <t>“DRIVE MODE NOT ENABLE AND VEHICLE CHARGING AUTOMATICALLY CUTTING OFF”</t>
  </si>
  <si>
    <t>noticed 0V in Cell voltage_index52 and 53. Suspecting Cell Supervisory Circuit (CSC) Issue, which is integrated part of cell module.</t>
  </si>
  <si>
    <t>B/Pack moved from MSPT to Vellore on 24-10-25 and planning to get old one on 25-10-25 for repairs</t>
  </si>
  <si>
    <t>PARAM AUTOMOTIVE PRIVATE LTD </t>
  </si>
  <si>
    <t>S6J87035</t>
  </si>
  <si>
    <t>abnormal IR value on HV battery side</t>
  </si>
  <si>
    <t>IR value not recovering from last couple of days</t>
  </si>
  <si>
    <t>B pack to be replaced</t>
  </si>
  <si>
    <t>Isolation failure</t>
  </si>
  <si>
    <t>Top cover touching to module PET film damage</t>
  </si>
  <si>
    <t xml:space="preserve">PET film damage </t>
  </si>
  <si>
    <t>IR</t>
  </si>
  <si>
    <t>S6D86798</t>
  </si>
  <si>
    <t>Customer reported intermittent vehicle stoppage &amp; HVSD on DID
Customer is driving from bidar to Hyderabad today (30 April 2025) the vehicle has stopped  4 times same issues faced  couple days before 
Now the vehicle is at the WS</t>
  </si>
  <si>
    <t>Battery failure and the same pack is repaired and refitted</t>
  </si>
  <si>
    <t>IVT sensor malfunction indication</t>
  </si>
  <si>
    <t xml:space="preserve">As IVT sensor is housed within NSU replaced the same &amp; in line replaced PSU and dispatched vehicle on 4 May 2025.
The NSU is sent to Yazaki (Pune) &amp; the IVT sensor manufacturer being isabellenhuette (Germany)
 </t>
  </si>
  <si>
    <t>S6C84811</t>
  </si>
  <si>
    <t>SOC SUDDEN DROP FROM 42 TO 20 AND 20 TO 1 %.</t>
  </si>
  <si>
    <t>45% imbalance seen in the vehicle, primarily due to 530hrs of vehicle idle time.
RTC imbalance seen but cannot be recovered by mere SW update, at least 15 sessions of C-D cycles to be performed so that the imbalance rate come down to 10%
Total approximate duration of cell balancing- 23 days (552 hours)
Overbalancing caused by BMS clock stuck</t>
  </si>
  <si>
    <t>Sr mgmnt call taken not to replace pack, vehicle handed over to Customer to perform 100% charging cycles &amp; to ensure SOC does not fall below 40%</t>
  </si>
  <si>
    <t>SOC Drop ( BMS old software version)</t>
  </si>
  <si>
    <t>MARUDHAR MISHRI MOTORS LLP</t>
  </si>
  <si>
    <t>Chennai</t>
  </si>
  <si>
    <t>Tamil Nadu</t>
  </si>
  <si>
    <t xml:space="preserve"> S6A86149</t>
  </si>
  <si>
    <t xml:space="preserve">We have received BE6 vehicle for compliant of service lamp glowing always , then we have connected MIDA &amp; found DTC as P351800 – BMS2 Service lamp continuous on , Checked manual we could not find the DTC  , We have updated software as per latest Service action then also same issue found . </t>
  </si>
  <si>
    <t>P351800 – BMS2 Service lamp continuous on</t>
  </si>
  <si>
    <t>BMS kl30 reset is done by Service team, error is cleared, no BMS service lamp is noted, vehicle handed over to customer at 20:30 today.</t>
  </si>
  <si>
    <t>BMS SW updated done</t>
  </si>
  <si>
    <t>CAI Auto Industries P Ltd</t>
  </si>
  <si>
    <t>S6B89395</t>
  </si>
  <si>
    <t>On 11.06.25, 10.45pm vehicle was taken from charging after 100% completion, Suddenly HV Disconnect warning lamp in cluster and vehicle not moving. Break down attended on 12.06.25 and observed LV battery was drained condition, New LV battery replaced and DTC recorded. Observed Battery related DTC present in BMS and VCU. Vehicle towed to workshop thro RSA.</t>
  </si>
  <si>
    <t>From 11th June 2025 / 20:44 onwards there is BMS L3 error detected and this is continuing
In addition there is DTC’s triggered, seems to be the CSC communication issue
BMS	P0AC6	00	Powertrain	GPIO Temperature measurement plausibility_1
BMS	P0B3C	00	Powertrain	Cell voltage measurement plausibility Mod 1
BMS	P0B41	00	Powertrain	Cell voltage measurement plausibility Mod 2</t>
  </si>
  <si>
    <t>BMS SW flashing done</t>
  </si>
  <si>
    <t>VVC Motors</t>
  </si>
  <si>
    <t>S6D86795</t>
  </si>
  <si>
    <t>VEHICLE REPORTED IN BREAKDOWN - NOT STARTING
Date &amp; Time of concern - 30/06/2025 &amp; 11: 30 am
Observation - During inspection we had connected mida tool and collected DTC error codes.
As per error of P363E01 - DEM SMART FUSE FAULTY SFTY.
Based on the error code we had checked in as per manual.
There is no Crash sensor related DTC in SRS ECU.
In BMS live data - SSW HV7 VOLTAGE IS - 1.21V ( ACCEPETCANCE 0 V )
As per live data PYRO switch fuse open
U21F920 LEVEL 2 BMS BATTERY CONTACT OFF ERROR ,
P341B00 - HV BATTERY DISCONNECTED INFORMATION ERROR</t>
  </si>
  <si>
    <t>Pyro fuse deployed, reason being analysed</t>
  </si>
  <si>
    <t>B/pack being moved to Zaheer bad BSC on 1 July 2025 for replacement of NSU/PSU and rework for pack to be made ready</t>
  </si>
  <si>
    <t>602 &amp; 696</t>
  </si>
  <si>
    <t>4201 &amp; 5345</t>
  </si>
  <si>
    <t>Shiva Autocar India Pvt Ltd</t>
  </si>
  <si>
    <t>Ghaziabad</t>
  </si>
  <si>
    <t>S6B87560</t>
  </si>
  <si>
    <t>Yesterday night 19/06/25 customer got stuck in midway,  drive was not getting enabled and back light in TGS was not glowing.
*Observation*
RSA team came and did LV battery reset after that concern not faced by customer. However customer send his vehicle to workshop and asking for complete resolution to avoid such breakdown in future.
*Action Taken*
We connected MIDA and found many DTC in history or in healed state. We cleared the DTC and any critical DTC is not registering now.</t>
  </si>
  <si>
    <t>Moisture on Module 2 &amp; 3; Vent Caps found to be with puncture</t>
  </si>
  <si>
    <t>IR recovered after pack drying &amp; vent replaced</t>
  </si>
  <si>
    <t xml:space="preserve">R6M82336 </t>
  </si>
  <si>
    <t>Drive is not getting enabled and Isolation fault showing in DID</t>
  </si>
  <si>
    <t xml:space="preserve">According To MIDA Report In this Vehicle Following DTC Are triggered Which is related to ISOLATION ERROR in Confirmed state. Also BMS Level 3 Error, Registered with Error Reason 49.
Requesting Wiring Harness &amp; BMS Team Support for Further Analysis.
Found Isolation related DTC : P30DB00 
Vent and Breather valve found hole and and water traces found near 4th module  </t>
  </si>
  <si>
    <t>Same battery pack IR rectified and refitted into vehicle</t>
  </si>
  <si>
    <t xml:space="preserve">Auto world </t>
  </si>
  <si>
    <t>Jaipur</t>
  </si>
  <si>
    <t>S6E90847</t>
  </si>
  <si>
    <t>1 case in Jaipur reported with vehicle brake-down condition 
with Critical system error message showing on cluster.
04.07.2025 | 15.25 PM – Noted, Fast charging Negative contactor 
temperature exceeding calibration threshold of 110 degC during DC 
charging, subsequently BMS triggered LVL3 error.
03.07.2025 | 20.00 PM – Noted, Pyro blown error register by BMS.
BMS registers Smart fuse safety error, if HV7 voltage reads &gt;2V or &lt;-2V
BMS registers Fast charge Negative contactor Over temperature error 
when it crosses 110 degC.</t>
  </si>
  <si>
    <t xml:space="preserve"> Both positive &amp; negative BDU’s replaced.
BDU’s sent to supplier (YAZAKI) – For further 
investigation</t>
  </si>
  <si>
    <t>BDU (Positive and negative)</t>
  </si>
  <si>
    <t>Jubilant Motor Works Pvt Ltd</t>
  </si>
  <si>
    <t>S6E93424</t>
  </si>
  <si>
    <t xml:space="preserve">Fast charging does not happen at multiple makes </t>
  </si>
  <si>
    <t>IVT sensor issue in history
In discussion with BDU integrator Yazaki</t>
  </si>
  <si>
    <t>Vehicle was driven by dealer driver to MSPT and the team has changed NSU/PSU</t>
  </si>
  <si>
    <t xml:space="preserve">Automotive manufacturing Pvt Ltd </t>
  </si>
  <si>
    <t>S6B87806</t>
  </si>
  <si>
    <t>High voltage disconnected message showing on cluster Meter screen</t>
  </si>
  <si>
    <t>BMS Error-L3-56-High Voltage Pulsability error</t>
  </si>
  <si>
    <t>BMS replaced</t>
  </si>
  <si>
    <t>Panasonic resistor failure ( Clorine contamination)</t>
  </si>
  <si>
    <t>S6E90957</t>
  </si>
  <si>
    <t>S6C86170</t>
  </si>
  <si>
    <t xml:space="preserve">vehicle reported us in breakdown condition on flat belt.
Concern of this vehicle is EV malfunction lamp coming on DID.
Then we connect and found the DTC in BMS
P30D9-00 Negative isolation fault
P30D8-00 Positive isolation fault
 </t>
  </si>
  <si>
    <t>Vent valve punctured</t>
  </si>
  <si>
    <t>Vent valves dispatched from MSPT</t>
  </si>
  <si>
    <t>S6D89197</t>
  </si>
  <si>
    <t>Vehicle was towed to workshop for the concern of "PYRO Warning: alert came on CID. As per customer he was driving from Delhi to Nainital, after running approximately for 125 KMS , they stopped at gajraula for a break and connected the vehicle to DC charger. After 5 min warning started blinking on charging port and pyro error started showing on CID</t>
  </si>
  <si>
    <t>Pyro switch was found to be blow off</t>
  </si>
  <si>
    <t>PSU and NSU have been replaced, as pyro switch was found blow off.</t>
  </si>
  <si>
    <t>S6C85701</t>
  </si>
  <si>
    <t>Short bridge busbar was replaced and further measurement was taken. Pack found to be healthy.</t>
  </si>
  <si>
    <t>Bus Bar</t>
  </si>
  <si>
    <t>Short busbar insulation not OK</t>
  </si>
  <si>
    <t>Bus bar</t>
  </si>
  <si>
    <t>Indraprastha Automobiles</t>
  </si>
  <si>
    <t>Jahangirpuri</t>
  </si>
  <si>
    <t>T-XBK840822</t>
  </si>
  <si>
    <t>S6H91643</t>
  </si>
  <si>
    <t>HV critical fault detected and the drive enable does not happen, then connected the MIDA and checked DTC and fount DTC is P363E01" Pyro fuse open safety and VCU U21F920 Level 2 BMS battery contact error. P341B00 HV battery disconnected information error.</t>
  </si>
  <si>
    <t xml:space="preserve">It was found that the pyro fuse was blown off, RCA not evident </t>
  </si>
  <si>
    <t>Both BDU replaced</t>
  </si>
  <si>
    <t>Consequential failure due to OCDC</t>
  </si>
  <si>
    <t>S6B88256</t>
  </si>
  <si>
    <t>B Pack replaced:: MMNL7BFA018103
B Pack replaced due IR not getting recovered</t>
  </si>
  <si>
    <t xml:space="preserve">Shri Gopinathji </t>
  </si>
  <si>
    <t>Gujarat</t>
  </si>
  <si>
    <t>Chakan</t>
  </si>
  <si>
    <t>S6E92319</t>
  </si>
  <si>
    <t>Based on MnM feedback battery pack sent to BSC Pune</t>
  </si>
  <si>
    <t>IVT sensor issue in history as per prognostics team
In discussion with BDU integrator Yazaki</t>
  </si>
  <si>
    <t>BDU , BMS and Top Cover replaced</t>
  </si>
  <si>
    <t>IVT_prognosis</t>
  </si>
  <si>
    <t>HareKrishna</t>
  </si>
  <si>
    <t>S6E90735</t>
  </si>
  <si>
    <t>BDU and BMS replaced</t>
  </si>
  <si>
    <t>Automotive manufacturers Pvt ltd</t>
  </si>
  <si>
    <t>S6C86021</t>
  </si>
  <si>
    <t xml:space="preserve">XEV9e vehicle complaint was vehicle running time Ev warning lamp on and vehicle goes to safe mode. Today morning we went to Road test vehicle travel in 10 km issue was coming. We connect the Mida tool check the DTC in VCU 
P351600 BMS ECU EV warring lamp ON Request 
P341E00 HV BATTER reduced performance indication current state 
BMS DTC was
P30AA00 Description Not found current state .this dtc is related to ivt sensor recently added
</t>
  </si>
  <si>
    <t>As per COE's advice NSU to be replaced and Leak test to be perofrmed.Isssue is related to IVT sensor</t>
  </si>
  <si>
    <t>NSU replaced and leak test done. BP dispatched back to dealership</t>
  </si>
  <si>
    <t>S6A87121</t>
  </si>
  <si>
    <t xml:space="preserve"> we check Lv battery gravity found Less than 1100 on red 
we check DTC found P30A564 - high voltage - 1.plausibility error safety. We follow DTC and check MSD Disconnect and battery remove step but issue not resolved.
</t>
  </si>
  <si>
    <t>Pack Voltage to Sum of Cell Voltage Plausibility Error Stage-2
High Voltage-1 Plausibility Error_Safety</t>
  </si>
  <si>
    <t>Replaced BMS</t>
  </si>
  <si>
    <t>Vijayawada</t>
  </si>
  <si>
    <t>S6C86391</t>
  </si>
  <si>
    <t xml:space="preserve">One vehicle reported from field related to contactor weld and pyro fuse open DTC. BMS raised level-3 error which is related to Pyro fuse open and contactor weld. +ve IR values also shows low
</t>
  </si>
  <si>
    <t xml:space="preserve">1. Tekline referred COE mail dated 22-9-25 for the said concern post TAR assistance that PSU/ NSU, BMS needs replacement in this veh. Hence asked to move the pack to MSPT-BRC same day
(Issue: Contactor weld reported in vehicle _MA1VP271BS6C86391)
2. Rao Bolle also sent mail on this on 22-9-253. </t>
  </si>
  <si>
    <t>PSU &amp; NSU replaced</t>
  </si>
  <si>
    <t>Dada Motors</t>
  </si>
  <si>
    <t>Ludhiana</t>
  </si>
  <si>
    <t>S6H92217</t>
  </si>
  <si>
    <t>33 % to 2 % And Critical Fault Detected</t>
  </si>
  <si>
    <t xml:space="preserve"> It is observed that vehicle charged for few mins and then disconnected with BMS raising L-4 error</t>
  </si>
  <si>
    <t>BMS replaced at BRC and SW flashing done at dealer</t>
  </si>
  <si>
    <t>Ramani Motors</t>
  </si>
  <si>
    <t>Coimbatore</t>
  </si>
  <si>
    <t>S6E90876</t>
  </si>
  <si>
    <t>PYRO ALERT PARK &amp; LEAVE THE VEHICLEIMMEDIATELY WARING DISPLAY IN CID &amp; DID</t>
  </si>
  <si>
    <t>Battery attended for Pyro and the same delivered back at dealer location on 18-10-25</t>
  </si>
  <si>
    <t>B/Pack moved to MSPT on 17-10-25 and attended for PYRO and B/pack sent back on 17-10-25</t>
  </si>
  <si>
    <t xml:space="preserve">KS Motors Jhotwara, Jaipur, Rajasthan
</t>
  </si>
  <si>
    <t>T-AOU851139</t>
  </si>
  <si>
    <t>S6H93471</t>
  </si>
  <si>
    <t>Vehicle sometime not Getting on</t>
  </si>
  <si>
    <t>Vishnu S Menon</t>
  </si>
  <si>
    <t>Neg contactor is always in closed position irrespective of IGN status.. Contactor welded condition</t>
  </si>
  <si>
    <t xml:space="preserve">Need to replace Positive and  Negative BDU </t>
  </si>
  <si>
    <t>Contactor Weld</t>
  </si>
  <si>
    <t>Contactor stuck issue</t>
  </si>
  <si>
    <t>KBS MOTORS PVT. LTD., AMBALA,Haryana</t>
  </si>
  <si>
    <t>T-RBE852927</t>
  </si>
  <si>
    <t>S6E92498</t>
  </si>
  <si>
    <t>Since there is the below DTC in BMS:
P30AA00 — IVT current sensor measurement ASIL qualification failure in BMS ECU
I suspect there is an internal issue with the HV battery related to the IVT Current sensor circuit</t>
  </si>
  <si>
    <t>Atik Nigam</t>
  </si>
  <si>
    <t>IVT current sensor  failure</t>
  </si>
  <si>
    <t>please send this HV battery to the nearest BRC for replacement. mail reference: XEV 9e 79 II T-RBE852927 II EV Warning Lamp On and Reduced Pickup During Acceleration @KBS MOTORS AMBALA, Haryana</t>
  </si>
  <si>
    <t xml:space="preserve">	JS4W1 - J. S. FOURWHEEL MOTORS PVT. LTD.</t>
  </si>
  <si>
    <t>ALWARRajasthan</t>
  </si>
  <si>
    <t xml:space="preserve">	T-HLX853179</t>
  </si>
  <si>
    <t>S6B88494</t>
  </si>
  <si>
    <t>Customer complaint Vehicle not drive enable Refer TAR T-LXP851153</t>
  </si>
  <si>
    <t>SUJITH S</t>
  </si>
  <si>
    <t>upon investigation it was found that pyro has been deployed in the B pack</t>
  </si>
  <si>
    <t>pyro open</t>
  </si>
  <si>
    <t>KONCEPT AUTOMOBILES PVT. LTD, New Delhi</t>
  </si>
  <si>
    <t>NEW DELHIDelhi</t>
  </si>
  <si>
    <t>T-UMQ853121</t>
  </si>
  <si>
    <t>S6E90605</t>
  </si>
  <si>
    <t>Vehicle is not move in the drive mode and HV battery telltale blinks</t>
  </si>
  <si>
    <t>Rehamanali</t>
  </si>
  <si>
    <t>Pyro fuse open during charging,
OCDC internal issue</t>
  </si>
  <si>
    <t>Pyro fuse open &amp; OCDC internal faulty</t>
  </si>
  <si>
    <t>OCDC+Pyro fuse</t>
  </si>
  <si>
    <t>AUTOMOTIVE MANUFACTURERS PVT.LTD</t>
  </si>
  <si>
    <t>T-JSK853485</t>
  </si>
  <si>
    <t>S6E93562</t>
  </si>
  <si>
    <t>IVT current sensor measurement ASIL qualification failure</t>
  </si>
  <si>
    <t>Saket Mahajan</t>
  </si>
  <si>
    <t xml:space="preserve">IVT current sensor </t>
  </si>
  <si>
    <t xml:space="preserve">Need to replace the Negative BDU </t>
  </si>
  <si>
    <t>25-30K</t>
  </si>
  <si>
    <t>A. AUTOMOVERS PVT. LTD. LUCKNOW,Uttar Pradesh</t>
  </si>
  <si>
    <t>LUCKNOW,Uttar Pradesh</t>
  </si>
  <si>
    <t>T-TTO853338</t>
  </si>
  <si>
    <t>S6C86176</t>
  </si>
  <si>
    <t>Pyro fuse open due to 
OCDC internal issue during charging</t>
  </si>
  <si>
    <t xml:space="preserve">	
KONCEPT AUTOMOBILE PVT LTD
A-40 MOHON CO-OPERATIVE INDUSTRIAL AREA
NEAR- Mohon Estate Metro Station
New Delhi-110044
Cotek-Sumit
Contact no-+91 78384 98690</t>
  </si>
  <si>
    <t>T-RMA854220</t>
  </si>
  <si>
    <t>S6C84470</t>
  </si>
  <si>
    <t>1, P3475-01 DC charging -BMS Fast charging Contactor Invalid/Error status.
2, P32C9-01 DFC Set in case of error in charger and valid communication-EVSV 
3,1, P30F8-00 Main contactor Pre-charge Time out fault warning.</t>
  </si>
  <si>
    <t>Harish Pandey</t>
  </si>
  <si>
    <t>OCDC internal issue &amp; IVT sensor</t>
  </si>
  <si>
    <t>OCDC Failure
Observed BMS L2 Error reason 109 (IVT current sensor measurement ASIL qualification failure )and BMS L3 Error reason 63 in the Sibros data.</t>
  </si>
  <si>
    <t>OCDC+IVT sensor</t>
  </si>
  <si>
    <t>AUTOMOTIVE MANUFACTURERS PVT. LTD - CHENNAI</t>
  </si>
  <si>
    <t>T-YCD854957</t>
  </si>
  <si>
    <t>S6J84077</t>
  </si>
  <si>
    <t>XEV 9e 59</t>
  </si>
  <si>
    <t>EV Warning Lamp glowing and while running time with DTC P30AA-IVT Current Sensor measurement ASIL Qualification failure</t>
  </si>
  <si>
    <t>marudhupandiyan</t>
  </si>
  <si>
    <t>IVT sensor fault</t>
  </si>
  <si>
    <t>IVT sensor fail+I120+G113:G120+G113:G+G113:G120</t>
  </si>
  <si>
    <t>T-BGF855022</t>
  </si>
  <si>
    <t>S6D88622</t>
  </si>
  <si>
    <t>NBS INTERNATIONAL LTD Mumbai</t>
  </si>
  <si>
    <t>Mumbai, Maharashtra</t>
  </si>
  <si>
    <t>chakan</t>
  </si>
  <si>
    <t>T-QFH855045</t>
  </si>
  <si>
    <t>S6E91103</t>
  </si>
  <si>
    <t>Critical Fault Error on DID "( 4th time Repeated )</t>
  </si>
  <si>
    <t>KL30C in BMS dropping even though Aux is healthy</t>
  </si>
  <si>
    <t>HV battery needs to be repaired, BMS need to inspect for KL30C voltage drop</t>
  </si>
  <si>
    <t>BMS_need to inspect</t>
  </si>
  <si>
    <t xml:space="preserve">BMS under analysis with Supplier </t>
  </si>
  <si>
    <t xml:space="preserve"> NAIK MOTORS Goa</t>
  </si>
  <si>
    <t>Goa</t>
  </si>
  <si>
    <t>T-KMM855377</t>
  </si>
  <si>
    <t xml:space="preserve">S6C86274 </t>
  </si>
  <si>
    <t>Sujith</t>
  </si>
  <si>
    <t>AUTOMOTIVE MANUFACTURERS PVT. LTD</t>
  </si>
  <si>
    <t>T-DIM854930</t>
  </si>
  <si>
    <t>S6C85016</t>
  </si>
  <si>
    <t>Critical Fault Error on DID at higher speeds. Error related to CSCCell Volt Plausibility_Mod4” &amp; “Cell Volt Qly” during drive.One cell_53nos voltage shows 5VDC</t>
  </si>
  <si>
    <t>Karthik A</t>
  </si>
  <si>
    <t>Cell Volt Plausibility_Mod4” &amp; “Cell Volt Qly</t>
  </si>
  <si>
    <t>Critical Fault Error on DID at higher speeds. Error related to CSC Cell Volt Plausibility_Mod4” &amp; “Cell Volt Qly” during drive.One cell_53nos voltage shows 5VDC</t>
  </si>
  <si>
    <t>Capacitor( Under Analysis)</t>
  </si>
  <si>
    <t>Krishan</t>
  </si>
  <si>
    <t>T-XCV854784</t>
  </si>
  <si>
    <t>S6F95329</t>
  </si>
  <si>
    <t>he vehicle was towed to our workshop with a concern of “Critical Fault Detected – Stop the Vehicle and Contact Mahindra Dealer.”</t>
  </si>
  <si>
    <t>Vehicle is breaking down at higher speeds with "Critical fault detected" displayed in cluster."Cell voltage measurement plausibility-Module 4" - DTC is observed,</t>
  </si>
  <si>
    <t>Battery module failure</t>
  </si>
  <si>
    <t>AUTO CARRIAGE PVT. LTD.</t>
  </si>
  <si>
    <t>KOLKATA</t>
  </si>
  <si>
    <t>kharagpur</t>
  </si>
  <si>
    <t>T-BSJ856104</t>
  </si>
  <si>
    <t>S6D88769</t>
  </si>
  <si>
    <t>BMS NODE ABSENT, BMS is not wake-up and not communicating to other ECU</t>
  </si>
  <si>
    <t>Suspecting BMS internal failure</t>
  </si>
  <si>
    <t>Accident vehicle repair ( BMS not communicating)</t>
  </si>
  <si>
    <t>SAHYADRI MOTORS PVT LTD.</t>
  </si>
  <si>
    <t>T-VJY857719</t>
  </si>
  <si>
    <t>S6F96639</t>
  </si>
  <si>
    <t>`</t>
  </si>
  <si>
    <t>IVT sensor failure</t>
  </si>
  <si>
    <t> RAMANI MOTORS PRIVATE LIMITED</t>
  </si>
  <si>
    <t>T-FAD858740</t>
  </si>
  <si>
    <t>S6J96426</t>
  </si>
  <si>
    <t>WHEN DRIVING VEHICLE WENT TO SAFE MODE &amp; EV WARNING LAMP GLOWING,  Already available in prognosis</t>
  </si>
  <si>
    <t>NM001 - NEON MOTORS PVT LTD</t>
  </si>
  <si>
    <t>VISAKHAPATNAM,Andhra Pradesh</t>
  </si>
  <si>
    <t>T-FBD855726</t>
  </si>
  <si>
    <t>S6B88601</t>
  </si>
  <si>
    <t>EV WARRANING LAMP GLOWING AT CLUSTER,DTC B1700-00 CABIN HETER STATUS ERROR</t>
  </si>
  <si>
    <t xml:space="preserve">Vent valve changed </t>
  </si>
  <si>
    <t>Vent valve and breather cap</t>
  </si>
  <si>
    <t>12 MIS</t>
  </si>
  <si>
    <t xml:space="preserve">	GEH01 - GEHLOT MOTORS PVT. LTD</t>
  </si>
  <si>
    <t xml:space="preserve">	SIKAR,Rajasthan</t>
  </si>
  <si>
    <t>T-XNT859716</t>
  </si>
  <si>
    <t>S6H94830</t>
  </si>
  <si>
    <t>Vehicle doe snot move front and move after auto disconnect charger.</t>
  </si>
  <si>
    <t>Pyro fuse open and contactor weld during DC charging, A current spike form power grid</t>
  </si>
  <si>
    <t>Pyro fuse and contactor weld</t>
  </si>
  <si>
    <t xml:space="preserve">	
SH01 - SHIVA AUTOMOBILES PVT. LTD.</t>
  </si>
  <si>
    <t>TIRUCHIRAPPALLI, Tamil Nadu</t>
  </si>
  <si>
    <t>T-SCX858871</t>
  </si>
  <si>
    <t>R6K81608</t>
  </si>
  <si>
    <t>Request for Remote BMS Flashing – BE-6</t>
  </si>
  <si>
    <t>BMS is not flashing ,Stuck in between</t>
  </si>
  <si>
    <t>SIR01 - SIREESH AUTO PVT. LTD.</t>
  </si>
  <si>
    <t xml:space="preserve">	T-YOM861171</t>
  </si>
  <si>
    <t>S6E92411</t>
  </si>
  <si>
    <t>SHV01 - SHIVA AUTO CAR INDIA PVT. LTD</t>
  </si>
  <si>
    <t>GHAZIABAD, Uttar Pradesh</t>
  </si>
  <si>
    <t>T-CBA861468</t>
  </si>
  <si>
    <t>S6B88295</t>
  </si>
  <si>
    <t>Battery SOC drops to 0 intermittently while running or by leaving overnight.</t>
  </si>
  <si>
    <t>Cell measurement out of range module -6, shows 0V, Cell undervoltage safety error in confirmed state</t>
  </si>
  <si>
    <t>Cell undervoltage safety error in confirmed state</t>
  </si>
  <si>
    <t>Cell Puncher (Open Case- Suspect)</t>
  </si>
  <si>
    <t>STA02 - STAR AUTOMOBILE</t>
  </si>
  <si>
    <t>RAGHURAJNAGAR,Madhya Pradesh</t>
  </si>
  <si>
    <t>Madhya Pradesh</t>
  </si>
  <si>
    <t>T-QWD861112</t>
  </si>
  <si>
    <t>S6A86608</t>
  </si>
  <si>
    <t>EV warning lamp on and vehicle stop, Battery IR values down</t>
  </si>
  <si>
    <t>Battery IR values are down so we keep vehicle isolated for 3dyas for IR recovery.and ask to change vent valve and breather cap</t>
  </si>
  <si>
    <t>Battery IR value is not ok</t>
  </si>
  <si>
    <t>Dealer end replaced</t>
  </si>
  <si>
    <t>BANGALORE,Karnataka</t>
  </si>
  <si>
    <t xml:space="preserve">	S6J84545</t>
  </si>
  <si>
    <t xml:space="preserve">	
XEV 9e 59</t>
  </si>
  <si>
    <t>NEX01 - NEXGENSOLUTION TECHNOLOGIES PVT.LTD</t>
  </si>
  <si>
    <t>RANCHI,Jharkhand</t>
  </si>
  <si>
    <t>Jharkhand</t>
  </si>
  <si>
    <t>Zaheerabad</t>
  </si>
  <si>
    <t>T-FLB861574</t>
  </si>
  <si>
    <t>R6M82429</t>
  </si>
  <si>
    <t>EV warning and HV battery failure telltale continuously blinking in DID and drive is not getting enabled.
DTC P363E01 in BMS and DTC P32D601,P341B00 is registered in VCU</t>
  </si>
  <si>
    <t>Pyro open during AC charging, suspecting OCDC also in error state</t>
  </si>
  <si>
    <t>RPL01 - RAMANI MOTORS PRIVATE LIMITED</t>
  </si>
  <si>
    <t>T-KGO862327</t>
  </si>
  <si>
    <t>S6F96391</t>
  </si>
  <si>
    <t>WHEN DRIVING VEHICLE WENT TO SAFE MODE &amp; EV WARNING LAMP GLOWING</t>
  </si>
  <si>
    <t xml:space="preserve">	DMT01 - DOON MIGHTY AUTOWHEELS PRIVATE LIMITED</t>
  </si>
  <si>
    <t xml:space="preserve">	
DEHARDUN,Uttarakhand</t>
  </si>
  <si>
    <t>T-JNK863393</t>
  </si>
  <si>
    <t>S6A86045</t>
  </si>
  <si>
    <t>Vehicle not charging and Battery drain too fast</t>
  </si>
  <si>
    <t>Old BMS SW version, one cell reached to &lt; 2V, hence as per BYD guideline- Battery replaced</t>
  </si>
  <si>
    <t>JN01 - JAIN CARS AND AUTO SALES PVT LTD</t>
  </si>
  <si>
    <t>VELLORE,Tamil Nadu</t>
  </si>
  <si>
    <t>T-AGD863225</t>
  </si>
  <si>
    <t>S6K88876</t>
  </si>
  <si>
    <t>CRITICAL FAULT DETECTED-STOP THE VEHICLE AND CONTACT MAHINDRA DEALER</t>
  </si>
  <si>
    <t>TVS Didoe- Transient voltage ( Under analysis with supplier)</t>
  </si>
  <si>
    <t xml:space="preserve">	
SAVAN IB AUTOWINGS PRIVATE LIMITED</t>
  </si>
  <si>
    <t>PUNE ( MH)</t>
  </si>
  <si>
    <t>R6J81544</t>
  </si>
  <si>
    <t>Vehicle SOC drop suddenly 51% to 1% on running time</t>
  </si>
  <si>
    <t>Old BMS software issue</t>
  </si>
  <si>
    <t>No matched</t>
  </si>
  <si>
    <t xml:space="preserve">	
KONCEPT AUTOMOBILES PVT. LTD.</t>
  </si>
  <si>
    <t>IVT Sensor issue</t>
  </si>
  <si>
    <t>19.12.2025</t>
  </si>
  <si>
    <t xml:space="preserve">	
SDP01 - SONIPAT DRIVE PRIVATE LIMITED</t>
  </si>
  <si>
    <t>SONIPAT,Haryana</t>
  </si>
  <si>
    <t>T-OMK864763</t>
  </si>
  <si>
    <t>S6C84674</t>
  </si>
  <si>
    <t>Vehicle reported for starting issue and not moving forward.</t>
  </si>
  <si>
    <t>Battery module failure. Cell voltage Qualifier error with Cell #63 &amp; 64 in error status from DTC report</t>
  </si>
  <si>
    <t xml:space="preserve">	SATPUDA AUTOMOBILES</t>
  </si>
  <si>
    <t>Surat</t>
  </si>
  <si>
    <t>S6B90139</t>
  </si>
  <si>
    <t>HV battery not taking charge</t>
  </si>
  <si>
    <t>Pyro open during AC charging</t>
  </si>
  <si>
    <t>CRITICAL FAULT DETECTED-STOP THE VEHICLE AND CONTACT MAHINDRA DEALER. 2nd time battery replaced due to HV negative contactor weld condition</t>
  </si>
  <si>
    <t>New battery pack sent ot delarship for fittment. After fittment HV battery negative contactor weld issue reported by BMS , So need to replaced battery pack</t>
  </si>
  <si>
    <t>Negative contactor weld</t>
  </si>
  <si>
    <t>KSM01 - K S MOTORS (P) LTD</t>
  </si>
  <si>
    <t>JAIPUR (RJ),Rajasthan</t>
  </si>
  <si>
    <t>T-FLB867193</t>
  </si>
  <si>
    <t>S6C85841</t>
  </si>
  <si>
    <t>Vehicle is not goes in drive enable mode, PYRO Alert BE6</t>
  </si>
  <si>
    <t>Pyro open during DC charging and FC contactor weld reported</t>
  </si>
  <si>
    <t>Pyro open during DC charging</t>
  </si>
  <si>
    <t>30-25K</t>
  </si>
  <si>
    <t>GEH01 - GEHLOT MOTORS PVT. LTD.</t>
  </si>
  <si>
    <t>SIKAR,Rajasthan</t>
  </si>
  <si>
    <t>T-OEG867556</t>
  </si>
  <si>
    <t>S6B88132</t>
  </si>
  <si>
    <t>Vehicle not start after charging.</t>
  </si>
  <si>
    <t>20-25K</t>
  </si>
  <si>
    <t>BHAVNA AUTOMOBILES PVT. LTD.</t>
  </si>
  <si>
    <t>NAVI MUMBAI, Maharashtra</t>
  </si>
  <si>
    <t>S6J96762</t>
  </si>
  <si>
    <t xml:space="preserve">CRITICAL FAULT DETECTED- HV Dissconnet </t>
  </si>
  <si>
    <t>Under analysis</t>
  </si>
  <si>
    <t>26.12.2025</t>
  </si>
  <si>
    <t xml:space="preserve">	KSM01 - K S MOTORS (P) LTD</t>
  </si>
  <si>
    <t>T-VUJ868663</t>
  </si>
  <si>
    <t>S6K90935</t>
  </si>
  <si>
    <t>EV Warning lamp glow and Vehicle is not move. BE6</t>
  </si>
  <si>
    <t xml:space="preserve">Both BDU </t>
  </si>
  <si>
    <t xml:space="preserve">	ITL01 - ERAM MOTORS PVT. LTD.</t>
  </si>
  <si>
    <t>T-VLF868285</t>
  </si>
  <si>
    <t>S6J84831</t>
  </si>
  <si>
    <t>CRITICAL MALFUNCTION TELLTALE TURN ON AND VEHICLE GOES TO TORQUE REDUCED CONDITION WHILE DRIVIN</t>
  </si>
  <si>
    <t>IVT sensor failure and its part of prognosis list</t>
  </si>
  <si>
    <t>Battery pack from Prognosis list</t>
  </si>
  <si>
    <t>AAUT1 - A. AUTOMOVERS PVT. LTD.</t>
  </si>
  <si>
    <t>T-MHP867523</t>
  </si>
  <si>
    <t>S6J85511</t>
  </si>
  <si>
    <t>BE 6 59</t>
  </si>
  <si>
    <t>Some time Drive mode not Enable and EV lamp blinking (critical fault detected showing on IC)</t>
  </si>
  <si>
    <t>HV contactor stuck to open and inhibited state</t>
  </si>
  <si>
    <t>HV contactor stuck</t>
  </si>
  <si>
    <t>contactor stuck</t>
  </si>
  <si>
    <t>KANCHIPURAM,Tamil Nadu</t>
  </si>
  <si>
    <t xml:space="preserve">	T-PPJ865508</t>
  </si>
  <si>
    <t>S6E93455</t>
  </si>
  <si>
    <t>HV-Disconnet- IR value low</t>
  </si>
  <si>
    <t>IR low, Vent valce issue</t>
  </si>
  <si>
    <t>Vent valve replaced- IR issue</t>
  </si>
  <si>
    <t>K. S. AUTOMOBILES PVT. LTD.</t>
  </si>
  <si>
    <t>UDAIPUR (RJ),Rajasthan</t>
  </si>
  <si>
    <t>T-EQG861261</t>
  </si>
  <si>
    <t>R6K81592</t>
  </si>
  <si>
    <t>Service telltale lamp</t>
  </si>
  <si>
    <t>SHUBHAM SAXENA</t>
  </si>
  <si>
    <t>BMS flashing issue</t>
  </si>
  <si>
    <t>Flashing issue</t>
  </si>
  <si>
    <t>K S MOTORS (P) LTD.</t>
  </si>
  <si>
    <t>KSM5 - JHOTWARA, JAIPUR</t>
  </si>
  <si>
    <t xml:space="preserve">	
T-FRY870164</t>
  </si>
  <si>
    <t>S6F95669</t>
  </si>
  <si>
    <t>EV WARRANING LAMP  GLOWING AT CLUSTER- HV Negative Pyro Open during DC charging</t>
  </si>
  <si>
    <t>Pyro fuse issue during DC charging</t>
  </si>
  <si>
    <t>NBS INTERNATIONAL LTD.</t>
  </si>
  <si>
    <t>T-UPU870275</t>
  </si>
  <si>
    <t>S6F96474</t>
  </si>
  <si>
    <t>Critical Fault detected- IVT sensor failure</t>
  </si>
  <si>
    <t>NAVIN KADAM</t>
  </si>
  <si>
    <t>Negative contactor fault</t>
  </si>
  <si>
    <t>Negative  BDU issue</t>
  </si>
  <si>
    <t>T-PLM872219</t>
  </si>
  <si>
    <t>S6E91855</t>
  </si>
  <si>
    <t xml:space="preserve">Drive malfunction with current DTC-VCU, 1-P351600 BMS2 EV Warning lamp continuous vehicle not moving above 40 speed </t>
  </si>
  <si>
    <t>KRM01 - KHIVRAJKAMAL MOTORS PVT LTD</t>
  </si>
  <si>
    <t>T-DHT872931</t>
  </si>
  <si>
    <t>S6F83976</t>
  </si>
  <si>
    <t>HV WARNING LAMP GLOWING IN DID AT THAT TIME VEHICLE GOES IN SAFE MODE</t>
  </si>
  <si>
    <t>T-JPQ873268</t>
  </si>
  <si>
    <t>S6D89250</t>
  </si>
  <si>
    <t>Drive malfunction with current DTC-VCU, 1-P351600 BMS2 EV Warning lamp continuous vehicle not moving above 40 speed</t>
  </si>
  <si>
    <t xml:space="preserve">	
ITL01 - ERAM MOTORS PVT. LTD</t>
  </si>
  <si>
    <t>T-DHT873930</t>
  </si>
  <si>
    <t>S6F85198</t>
  </si>
  <si>
    <t>CRITICAL MALFUNCTION TELLTALE TURN ON AND VEHICLE GOES TO TORQUE REDUCED CONDITION WHILE DRIVING.</t>
  </si>
  <si>
    <t>SKS INDIA PRIVATE LIMITED</t>
  </si>
  <si>
    <t>T-QLR873967</t>
  </si>
  <si>
    <t>S6D88532</t>
  </si>
  <si>
    <t xml:space="preserve">IVT sensor replacement </t>
  </si>
  <si>
    <t>SAKET MAHAJAN</t>
  </si>
  <si>
    <t>AUTOMOTIVE MANUFACTURERS PVT LTD-COCHIN</t>
  </si>
  <si>
    <t>T-SNI874337</t>
  </si>
  <si>
    <t>S6F94375</t>
  </si>
  <si>
    <t>Request for sending the battery pack to BSC for IVT sensor replacement.</t>
  </si>
  <si>
    <t xml:space="preserve">	SUJITH S</t>
  </si>
  <si>
    <t>SHIVA AUTOMOBILES PVT. LTD.</t>
  </si>
  <si>
    <t>T-QLT874422</t>
  </si>
  <si>
    <t>S6A86247</t>
  </si>
  <si>
    <t>vehicle ev warning lamp glowing &amp;pick low</t>
  </si>
  <si>
    <t>PMC01 - POPULAR MOTOR CORPORATION</t>
  </si>
  <si>
    <t xml:space="preserve">	T-RUR874478</t>
  </si>
  <si>
    <t>S6J83902</t>
  </si>
  <si>
    <t>IVT replacement - Prognosis case - Plant request</t>
  </si>
  <si>
    <t>KSA01 - K. S. AUTOMOBILES PVT. LTD.</t>
  </si>
  <si>
    <t>UDAIPUR (RJ)Rajasthan</t>
  </si>
  <si>
    <t>T-PFN874048</t>
  </si>
  <si>
    <t>S6E91254</t>
  </si>
  <si>
    <t>We need Diagnostic assistance for a XEV9e vehicle that not coming in Drive mode and EV warning lamp on Telltale</t>
  </si>
  <si>
    <t>We have connected the MiDA tool and noted the registered DTC as below mentioned,
P337D00 Irregular switch off of OCDC in Test pending state under OCDC,
P340000 SBW internal fault in Current state under SBW,
P363E01 Pyro smart fuse open safety in current state under BMS,
P341B00 HV Battery disconnected information error in current state under VCU.</t>
  </si>
  <si>
    <t>A XEV 9e vehicle reported at our workshop for Vehicle got immobilized after a short event on the wet charging cable was inserted in the Charge port of the vehicle</t>
  </si>
  <si>
    <t>Pyro failure due to AC Charging</t>
  </si>
  <si>
    <t>VV001 - V. V. C. MOTORS</t>
  </si>
  <si>
    <t xml:space="preserve">	T-GHJ873044</t>
  </si>
  <si>
    <t>S6J85591</t>
  </si>
  <si>
    <t>Vehicle entering Safe Mode with Critical System Malfunction warning lamp ON</t>
  </si>
  <si>
    <t xml:space="preserve">IVT sensor failure in early milage so we are going to replaced battery pack </t>
  </si>
  <si>
    <t xml:space="preserve">	KSM01 - K S MOTORS (P) LTD.</t>
  </si>
  <si>
    <t>JAIPUR (RJ)Rajasthan</t>
  </si>
  <si>
    <t xml:space="preserve">	T-WMX872939</t>
  </si>
  <si>
    <t>S6E91251</t>
  </si>
  <si>
    <t>HV SOC Very fast down after 50% SOC. XEV9E.</t>
  </si>
  <si>
    <t>HV SOC sudden drop cell balancing issue</t>
  </si>
  <si>
    <t>SOC Fluctuation</t>
  </si>
  <si>
    <t>SOC Drop issue</t>
  </si>
  <si>
    <t>SHREE AUTOMOTIVE PVT. LTD.</t>
  </si>
  <si>
    <t>RAJARHATWest Bengal</t>
  </si>
  <si>
    <t>T-OGM875435</t>
  </si>
  <si>
    <t>S6E93428</t>
  </si>
  <si>
    <t>EV WARNING LAMP GLOWING DTC-P30AA-00-Powertrain -IVT current sensor measurement ASIL qualification failure</t>
  </si>
  <si>
    <t>NAVI MUMBAIMaharashtra</t>
  </si>
  <si>
    <t>T-DRE876344</t>
  </si>
  <si>
    <t>S6F84702</t>
  </si>
  <si>
    <t>SAFE MODE SHOW IN VEHICLE RUNNING CONDITION</t>
  </si>
  <si>
    <t>VISHNU MENON</t>
  </si>
  <si>
    <t>INTREPID WORKS PVT. LTD.</t>
  </si>
  <si>
    <t>ALAPPUZHAKerala</t>
  </si>
  <si>
    <t>T-YJO876076</t>
  </si>
  <si>
    <t>S6J85352</t>
  </si>
  <si>
    <t xml:space="preserve">The vehicle SOC 22 % has suddenly drop to 5 % SOC and EV warning lamp glowing </t>
  </si>
  <si>
    <t>Cell Issue</t>
  </si>
  <si>
    <t>Cell No 47 issue</t>
  </si>
  <si>
    <t>ANANTCARS AUTO PVT. LTD.</t>
  </si>
  <si>
    <t>BANGALOREKarnataka</t>
  </si>
  <si>
    <t>T-EKI876991</t>
  </si>
  <si>
    <t>S6G86862</t>
  </si>
  <si>
    <t>"IVT SENSOR REPLACEMENT - PROGNOSIS CASE" (PLANT TEAM REQUESTED)</t>
  </si>
  <si>
    <t>VENKATESAN K</t>
  </si>
  <si>
    <t>AIN CARS AND AUTO SALES PRIVATE LIMITED</t>
  </si>
  <si>
    <t>VELLORE, TAMIL NADU</t>
  </si>
  <si>
    <t>No TAR</t>
  </si>
  <si>
    <t>S6A84203</t>
  </si>
  <si>
    <t xml:space="preserve">	
XEV 9e 79</t>
  </si>
  <si>
    <t>IVT sensor replacement</t>
  </si>
  <si>
    <t>Ramesh</t>
  </si>
  <si>
    <t>30-35K</t>
  </si>
  <si>
    <t>J S Grover Autos Pvt</t>
  </si>
  <si>
    <t>PATHANKOT</t>
  </si>
  <si>
    <t>R6K81822</t>
  </si>
  <si>
    <t>Wasim</t>
  </si>
  <si>
    <t>40-45K</t>
  </si>
  <si>
    <t>S6D89995</t>
  </si>
  <si>
    <t>Sahyadri Motors</t>
  </si>
  <si>
    <t>Wakad</t>
  </si>
  <si>
    <t>S6D87403</t>
  </si>
  <si>
    <t>T-EKU877045</t>
  </si>
  <si>
    <t>S6D88124</t>
  </si>
  <si>
    <t>JUBILANT MOTORWORKS PVT LTD</t>
  </si>
  <si>
    <t>CHENNAI, TAMIL NADU</t>
  </si>
  <si>
    <t>T-DDO877249</t>
  </si>
  <si>
    <t>S6F96187</t>
  </si>
  <si>
    <t>TN07DM2895 BE6 vehicle approval request for IVT replacement</t>
  </si>
  <si>
    <t xml:space="preserve">KARTHIKEYAN K KALIMUTHU	</t>
  </si>
  <si>
    <t>ADITYA MOTORS</t>
  </si>
  <si>
    <t>CUTTACK, ORISSA</t>
  </si>
  <si>
    <t>T-IBT878380</t>
  </si>
  <si>
    <t>S6F85347</t>
  </si>
  <si>
    <t>SAFE mode showing during running and EV warning lamp comes intermittently in DID then Pikup drops.</t>
  </si>
  <si>
    <t xml:space="preserve">TARINI CHARAN NAYAK	</t>
  </si>
  <si>
    <t>PRATIK AUTOMOBILES</t>
  </si>
  <si>
    <t>S6K92170</t>
  </si>
  <si>
    <t>BATTERY SENSOR REPLACEMENT.</t>
  </si>
  <si>
    <t>NEON MOTORS PVT LTD</t>
  </si>
  <si>
    <t>HYDERABAD, TELANGANA</t>
  </si>
  <si>
    <t>T-MBE878753</t>
  </si>
  <si>
    <t>S6G89922</t>
  </si>
  <si>
    <t>Vehicle not start condition. EV and HV warning lamps illuminated on the DID.</t>
  </si>
  <si>
    <t xml:space="preserve">	ANIL KUMAR M</t>
  </si>
  <si>
    <t>SLEEBA AND SONS AUTOMOTIVE PVT. LTD.</t>
  </si>
  <si>
    <t>TRIVANDRUMKerala</t>
  </si>
  <si>
    <t>T-HHE879202</t>
  </si>
  <si>
    <t>S6C86508</t>
  </si>
  <si>
    <t>EV warning lamp on and moving to safe mode</t>
  </si>
  <si>
    <t xml:space="preserve">	AKHIL VT</t>
  </si>
  <si>
    <t>LUCKNOWUttar Pradesh</t>
  </si>
  <si>
    <t>T-WGN879319</t>
  </si>
  <si>
    <t>S6K90614</t>
  </si>
  <si>
    <t>Coolant Leak From Battery pack (EV lamp on )</t>
  </si>
  <si>
    <t xml:space="preserve">	VASEEM AKRAM</t>
  </si>
  <si>
    <t>Cooling channel</t>
  </si>
  <si>
    <t>Coolant leak</t>
  </si>
  <si>
    <t>HARBIR AUTOMOBILE PVT. LTD.</t>
  </si>
  <si>
    <t>CHANDIGARHChandigarh</t>
  </si>
  <si>
    <t>Chandigarh</t>
  </si>
  <si>
    <t>T-MVG878393</t>
  </si>
  <si>
    <t>S6B89285</t>
  </si>
  <si>
    <t>Vehicle not moving in drive mode.</t>
  </si>
  <si>
    <t xml:space="preserve">Vent Valve </t>
  </si>
  <si>
    <t>HBN01 - HARBANS MOTORS PVT LTD</t>
  </si>
  <si>
    <t>T-CGA877789</t>
  </si>
  <si>
    <t>S6G86868</t>
  </si>
  <si>
    <t>KONCEPT AUTOMOBILES PVT LTD</t>
  </si>
  <si>
    <t>S6G85649</t>
  </si>
  <si>
    <t>Mani chnadra</t>
  </si>
  <si>
    <t>S6E91747</t>
  </si>
  <si>
    <t>SHIVA AUTO CAR (INDIA) PVT LTD</t>
  </si>
  <si>
    <t>DELHI</t>
  </si>
  <si>
    <t>S6B88738</t>
  </si>
  <si>
    <t>KALYAN SALES LLP</t>
  </si>
  <si>
    <t>Agra</t>
  </si>
  <si>
    <t>S6D87267</t>
  </si>
  <si>
    <t>NATRAJ MOBILES PVT LTD</t>
  </si>
  <si>
    <t>JHANSI</t>
  </si>
  <si>
    <t>S6G86497</t>
  </si>
  <si>
    <t>S6B89629</t>
  </si>
  <si>
    <t>HYDERABAD</t>
  </si>
  <si>
    <t>S6E91078</t>
  </si>
  <si>
    <t>ADITYA MOTORS CUTTACK</t>
  </si>
  <si>
    <t>CUTTACK</t>
  </si>
  <si>
    <t>S6F96588</t>
  </si>
  <si>
    <t>Automotive Manufacturers Private Limited</t>
  </si>
  <si>
    <t>S6B90095</t>
  </si>
  <si>
    <t>DERIK MOTORS (P) LTD</t>
  </si>
  <si>
    <t>TIRUNELVELITamil Nadu</t>
  </si>
  <si>
    <t>T-NXM880285</t>
  </si>
  <si>
    <t>S6E90904</t>
  </si>
  <si>
    <t>NARAIN AUTOMOBILES</t>
  </si>
  <si>
    <t>S6J95787</t>
  </si>
  <si>
    <t xml:space="preserve">IVT SENSOR REPLACEMENT </t>
  </si>
  <si>
    <t>ASHOK KUMAR YADAV</t>
  </si>
  <si>
    <t>Repairable</t>
  </si>
  <si>
    <t>ERAM MOTORS PVT. LTD.</t>
  </si>
  <si>
    <t>KANNURKerala</t>
  </si>
  <si>
    <t>T-CQX880702</t>
  </si>
  <si>
    <t>S6E92470</t>
  </si>
  <si>
    <t>The vehicle's pickup is poor and Safe Mode warning shows.</t>
  </si>
  <si>
    <t>SUSEEL KUMAR THATTARUVADAKETHIL SUKUMARAN</t>
  </si>
  <si>
    <t>UNNATI MOTORS, A DIVISION OF MICROPARK LOGISTICS P</t>
  </si>
  <si>
    <t>KOLHAPURMaharashtra</t>
  </si>
  <si>
    <t>T-YGW880997</t>
  </si>
  <si>
    <t>S6E92491</t>
  </si>
  <si>
    <t>EV Malfunction warning lamp ON after 60 km running</t>
  </si>
  <si>
    <t>ANIKET VADGAONKAR</t>
  </si>
  <si>
    <t>T-BCN881067</t>
  </si>
  <si>
    <t>S6E92891</t>
  </si>
  <si>
    <t>THRISSURKerala</t>
  </si>
  <si>
    <t>T-NXA881689</t>
  </si>
  <si>
    <t>S6A86752</t>
  </si>
  <si>
    <t xml:space="preserve">IVT SENSOR FAILURE </t>
  </si>
  <si>
    <t>VAISAKH .P S</t>
  </si>
  <si>
    <t>VISAKHAPATNAMAndhra Pradesh</t>
  </si>
  <si>
    <t>T-IEA881826</t>
  </si>
  <si>
    <t>S6G86822</t>
  </si>
  <si>
    <t xml:space="preserve">EV WARNING LAMP GLOWING AND POOR PICKUP </t>
  </si>
  <si>
    <t>AGGALA VARAHA GOVINDA RAJU</t>
  </si>
  <si>
    <t>BUNDELKHAND AUTOMOBILES PVT LTD.</t>
  </si>
  <si>
    <t>HAMIRPUR (U.P.)Uttar Pradesh</t>
  </si>
  <si>
    <t>T-UBH881452</t>
  </si>
  <si>
    <t>S6H92119</t>
  </si>
  <si>
    <t>BATTERY SOC SUDDEN DROPPED WHILE DRIVING BATTERY SOC REACHES BELOW 25 OR 20% SAFE MODE ON.</t>
  </si>
  <si>
    <t>AKHILESH YADAV</t>
  </si>
  <si>
    <t>SOC Drop</t>
  </si>
  <si>
    <t>SOC drop due to SW issue</t>
  </si>
  <si>
    <t>SRI DURGA AUTOMOBILES</t>
  </si>
  <si>
    <t>T-HQH881114</t>
  </si>
  <si>
    <t>S6J95775</t>
  </si>
  <si>
    <t>Safe mode error showing in DID and vehicle not taking acceleration.</t>
  </si>
  <si>
    <t>HARMEET SINGH</t>
  </si>
  <si>
    <t>AUTO WORLD (K S AUTO SERVICES PVT LTD)</t>
  </si>
  <si>
    <t>T-EPS881249</t>
  </si>
  <si>
    <t>S6K90845</t>
  </si>
  <si>
    <t>Abnormal SOC Drop During Driving.</t>
  </si>
  <si>
    <t>RAVI KR SHARMA</t>
  </si>
  <si>
    <t>PRIME AUTOMOBILES PVT LTD</t>
  </si>
  <si>
    <t>FARIDABADHaryana</t>
  </si>
  <si>
    <t>T-QYP884320</t>
  </si>
  <si>
    <t>S6H94530</t>
  </si>
  <si>
    <t>Intermittent concern of sometime EV warning light glow and safe mode pop up shows in DID.</t>
  </si>
  <si>
    <t>GAURAV KUMAR</t>
  </si>
  <si>
    <t>CHENNAITamil Nadu</t>
  </si>
  <si>
    <t>T-JMW884409</t>
  </si>
  <si>
    <t>S6G86290</t>
  </si>
  <si>
    <t>IVT SENSOR REPLACEMENT - PROGNOSIS CASE (PLANT TEAM REQUESTED)</t>
  </si>
  <si>
    <t>SURESH KUMAR G</t>
  </si>
  <si>
    <t>HYDERABADTelangana</t>
  </si>
  <si>
    <t>T-RTE884785</t>
  </si>
  <si>
    <t>S6J95816</t>
  </si>
  <si>
    <t xml:space="preserve">EV LAMP GLOWING </t>
  </si>
  <si>
    <t>SRIHARSHA DEVI VENKATA</t>
  </si>
  <si>
    <t>Cell puncture</t>
  </si>
  <si>
    <t>Foreign partical found between cells</t>
  </si>
  <si>
    <t>PRESIDENT MOTORS</t>
  </si>
  <si>
    <t>UDHNAGujarat</t>
  </si>
  <si>
    <t>T-ULD884656</t>
  </si>
  <si>
    <t>S6J86128</t>
  </si>
  <si>
    <t>P363E01 Pyro smart fuse open - Current state.</t>
  </si>
  <si>
    <t>Ansari Qaiyum</t>
  </si>
  <si>
    <t>Pyro Issue</t>
  </si>
  <si>
    <t>KONCEPT AUTOMOBILES PVT. LTD.</t>
  </si>
  <si>
    <t>NOIDAUttar Pradesh</t>
  </si>
  <si>
    <t>T-SJO884753</t>
  </si>
  <si>
    <t>S6D88062</t>
  </si>
  <si>
    <t>EV waring lamp glow and drive mode not enable.</t>
  </si>
  <si>
    <t>ATUL MAHUR</t>
  </si>
  <si>
    <t>T-HQJ884932</t>
  </si>
  <si>
    <t>S6D88356</t>
  </si>
  <si>
    <t xml:space="preserve">IVT SENSOR REPAIR </t>
  </si>
  <si>
    <t>35-40K</t>
  </si>
  <si>
    <t>BAJARANG MOTORS</t>
  </si>
  <si>
    <t>HALDWANIUttarakhand</t>
  </si>
  <si>
    <t>T-HGL884999</t>
  </si>
  <si>
    <t>S6G87294</t>
  </si>
  <si>
    <t>HV lamp blinking and Drive does not enable due to P363E01 Pyro Smart fuse Open Safety</t>
  </si>
  <si>
    <t>Gaurav Singh</t>
  </si>
  <si>
    <t>MADURAITamil Nadu</t>
  </si>
  <si>
    <t>T-EUK885628</t>
  </si>
  <si>
    <t>S6G85631</t>
  </si>
  <si>
    <t xml:space="preserve">Intermittently EV Warning lamp glowing </t>
  </si>
  <si>
    <t>ATHISWARAN S</t>
  </si>
  <si>
    <t>R.C.PURAMTelangana</t>
  </si>
  <si>
    <t>T-XXE885766</t>
  </si>
  <si>
    <t>S6F96595</t>
  </si>
  <si>
    <t>EV lamp glowing in cluster</t>
  </si>
  <si>
    <t>BORRA MURALI KRISHNA</t>
  </si>
  <si>
    <t>RAMANI MOTORS PRIVATE LIMITED</t>
  </si>
  <si>
    <t>COIMBATORETamil Nadu</t>
  </si>
  <si>
    <t>T-GPB886062</t>
  </si>
  <si>
    <t>T6A84484</t>
  </si>
  <si>
    <t>Prognosis -IVT sensor replacement(AS PER CCM INSTRUCTIONS TAR RAISED)</t>
  </si>
  <si>
    <t>MARIAKENNETHRUPERT J</t>
  </si>
  <si>
    <t>T-DCI886288</t>
  </si>
  <si>
    <t>S6D89700</t>
  </si>
  <si>
    <t>High Temp &amp; EV Warning lamp Glowing</t>
  </si>
  <si>
    <t>Pyro</t>
  </si>
  <si>
    <t>CAI AUTO INDUSTRIES PVT LTD</t>
  </si>
  <si>
    <t>T-DOX886201</t>
  </si>
  <si>
    <t>T6A86888</t>
  </si>
  <si>
    <t>Intermittent DTC P30AA00 (BMS ECU) – IVT Current Sensor ASIL Qualification Failure Causing HV Warning Lamp Activation and Reduced Performance Mode.</t>
  </si>
  <si>
    <t>PRAVEEN KUMAR KARUPPASAMY</t>
  </si>
  <si>
    <t>CHERUKARA VEHICLES PRIVATE LIMITED</t>
  </si>
  <si>
    <t>T-YIB886569</t>
  </si>
  <si>
    <t>S6E91530</t>
  </si>
  <si>
    <t>Safe mode is showing, and the vehicle malfunction lamp is glowing (P30AA00)</t>
  </si>
  <si>
    <t>SHEMEER A</t>
  </si>
  <si>
    <t>KARNATAKA AGENCIES</t>
  </si>
  <si>
    <t>MANGALOREKarnataka</t>
  </si>
  <si>
    <t>T-EKI887404</t>
  </si>
  <si>
    <t>S6F96774</t>
  </si>
  <si>
    <t>LINUS ANTONY LOBO</t>
  </si>
  <si>
    <t>RAJ INDIA AUTO PVT. LTD.</t>
  </si>
  <si>
    <t>VARANASIUttar Pradesh</t>
  </si>
  <si>
    <t>Kharagpur</t>
  </si>
  <si>
    <t>T-SFE887243</t>
  </si>
  <si>
    <t>S6C85121</t>
  </si>
  <si>
    <t>INTERMITTENT EV WARNING LAMP ON AND SAFE MODE SHOWING IN DID(P341E00,P30AA00).</t>
  </si>
  <si>
    <t>DIVESH KUMAR VISHWAKARMA</t>
  </si>
  <si>
    <t>RAJ POWER SOLUTIONS</t>
  </si>
  <si>
    <t>PATIALAPunjab</t>
  </si>
  <si>
    <t>T-UHF887350</t>
  </si>
  <si>
    <t>S6H91736</t>
  </si>
  <si>
    <t>Charging not initiating AC/DC both and Drive does not enable.</t>
  </si>
  <si>
    <t>MANMOHAN KUMAR</t>
  </si>
  <si>
    <t>Puro failure due to DC charging</t>
  </si>
  <si>
    <t>Pyro Failure due to DC Charging</t>
  </si>
  <si>
    <t>KHIVRAJKAMAL MOTORS PVT LTD</t>
  </si>
  <si>
    <t>AMBATTURTamil Nadu</t>
  </si>
  <si>
    <t>T-CYN888496</t>
  </si>
  <si>
    <t>S6F96120</t>
  </si>
  <si>
    <t>EV WARNING LAMP GLOWING AT THAT TIME VEHICLE GOES SAFE MODE - IVT Current Sensor ASIL Qualification Failure</t>
  </si>
  <si>
    <t>B PREM KUMAR</t>
  </si>
  <si>
    <t>T-IME888995</t>
  </si>
  <si>
    <t>S6D88706</t>
  </si>
  <si>
    <t>During driving Ev lamp on and pore pickup and safe mode display on DID</t>
  </si>
  <si>
    <t>VASEEM AKRAM</t>
  </si>
  <si>
    <t>SHIVA AUTO CAR INDIA PVT. LTD.</t>
  </si>
  <si>
    <t>GHAZIABADUttar Pradesh</t>
  </si>
  <si>
    <t>T-ORU888498</t>
  </si>
  <si>
    <t>S6G86284</t>
  </si>
  <si>
    <t>The HV battery is not charging and the vehicle is not going to drive enable state .having DTC: P363E-01 Pyro Smart Fuse Open_Safety.</t>
  </si>
  <si>
    <t>VATS KAPOOR</t>
  </si>
  <si>
    <t>Puro failure due to consequential</t>
  </si>
  <si>
    <t>Pyro Failure due to consequential</t>
  </si>
  <si>
    <t>Pyro failure due to consequential</t>
  </si>
  <si>
    <t>out of warranty case</t>
  </si>
  <si>
    <t>INDOMOBIL SALES AND SERVICES PRIVATE LIMITED</t>
  </si>
  <si>
    <t>LATUR</t>
  </si>
  <si>
    <t>T-KCJ890397</t>
  </si>
  <si>
    <t>T6A91016</t>
  </si>
  <si>
    <t>XEV 9S 79KW</t>
  </si>
  <si>
    <t>Vehicle receives at breakdown condition further points observed at point.
( P363E01 - Pyro smart Fuse open _safety)
1. Battery warning lamp is blinking in vehicle 
2. A/C not getting on in IGN on ENG on Condition
3. LV battery not getting charged 
Performed LVMSD reset but condition still persist</t>
  </si>
  <si>
    <t>ROHAN NIRMALE</t>
  </si>
  <si>
    <t>MUMBAIMaharashtra</t>
  </si>
  <si>
    <t>T-JYI890468</t>
  </si>
  <si>
    <t>S6B88203</t>
  </si>
  <si>
    <t>HV Battery Malfunction Lamp on DID.</t>
  </si>
  <si>
    <t>T-NRO890555</t>
  </si>
  <si>
    <t>S6G86247</t>
  </si>
  <si>
    <t>HV battery warning lamp On In running.</t>
  </si>
  <si>
    <t>KOZHIKODEKerala</t>
  </si>
  <si>
    <t>T-KDH890743</t>
  </si>
  <si>
    <t>S6F96437</t>
  </si>
  <si>
    <t>CRITICAL MALFUNCTION TELLTALE TURN ON AND VEHICLE GOES TO TORQUE REDUCED CONDITION WHILE DRIVING.-P30AA00 -IVT Current sensor measurement ASIL qualification failure</t>
  </si>
  <si>
    <t>PRASANTH M</t>
  </si>
  <si>
    <t>SIRI MOTOR VENTURES PVT. LTD.</t>
  </si>
  <si>
    <t>KRISHNAGIRITamil Nadu</t>
  </si>
  <si>
    <t>T-YQS891319</t>
  </si>
  <si>
    <t>S6E90915</t>
  </si>
  <si>
    <t>IVT SENSOR REPLACEMET - PROGNOSIS CASE PLANT TEAM REQUEST.</t>
  </si>
  <si>
    <t>ARSHAD RASHITH</t>
  </si>
  <si>
    <t>UTKAL AUTOMOBILES PVT. LTD.</t>
  </si>
  <si>
    <t>BHUBANESWAROrissa</t>
  </si>
  <si>
    <t>T-CDH891306</t>
  </si>
  <si>
    <t>S6C85357</t>
  </si>
  <si>
    <t>HRUDANANDA PRUSTY</t>
  </si>
  <si>
    <t>INDIA GARAGE</t>
  </si>
  <si>
    <t>T-YLU891607</t>
  </si>
  <si>
    <t>S6E92294</t>
  </si>
  <si>
    <t xml:space="preserve">PREETHAM K M </t>
  </si>
  <si>
    <t>SW tomorrow</t>
  </si>
  <si>
    <t>MODI ( A UNIT OF ARNAV AUTOMOBILES )</t>
  </si>
  <si>
    <t>T-KAD891814</t>
  </si>
  <si>
    <t>S6E93723</t>
  </si>
  <si>
    <t>Drive malfunction detected. DTCs P351600, P30AA00, and P341E00 are registered. The EV warning lamp remains continuously ON, and as a result, the vehicle is not accelerating beyond 40 km/h</t>
  </si>
  <si>
    <t>KEDAR SHETYE</t>
  </si>
  <si>
    <t xml:space="preserve">SW Flashed in Battery pack </t>
  </si>
  <si>
    <t>POPULAR MOTOR CORPORATION</t>
  </si>
  <si>
    <t>KOLLAMKerala</t>
  </si>
  <si>
    <t>T-QTL891554</t>
  </si>
  <si>
    <t>S6F94266</t>
  </si>
  <si>
    <t>Vehicle in Safe Mode and Low Pulling Concern (P30AA00)</t>
  </si>
  <si>
    <t>KAARTHIK S KUMAR</t>
  </si>
  <si>
    <t>VAYALAT AUTOMOBILES PRIVATE LIMITED</t>
  </si>
  <si>
    <t>KOCHIKerala</t>
  </si>
  <si>
    <t>T-TFW883872</t>
  </si>
  <si>
    <t>S6J96881</t>
  </si>
  <si>
    <t>Fault detected high voltage system disconnected show in DID screen.</t>
  </si>
  <si>
    <t>SIJO C J</t>
  </si>
  <si>
    <t>received but replacement pending</t>
  </si>
  <si>
    <t>NANAVATI AUTOMOTIVE</t>
  </si>
  <si>
    <t>CHORYASIGujarat</t>
  </si>
  <si>
    <t>T-QYP892359</t>
  </si>
  <si>
    <t>S6E91262</t>
  </si>
  <si>
    <t>Vehicle entering Safe Mode with low pickup and speed limited to 50 km/h, EV warning lamp ON. DTC : BMS - P30AA00</t>
  </si>
  <si>
    <t>HIREN SONDHARVA</t>
  </si>
  <si>
    <t>Battery pack at BRC</t>
  </si>
  <si>
    <t>T-LAV892337</t>
  </si>
  <si>
    <t>S6J84302</t>
  </si>
  <si>
    <t xml:space="preserve">Drive Not Enabling due to LV Battery Drain </t>
  </si>
  <si>
    <t>Metal partical between cell</t>
  </si>
  <si>
    <t>GALLOPS MOTORS PVT LTD</t>
  </si>
  <si>
    <t>RAJKOTGujarat</t>
  </si>
  <si>
    <t>T-RJT892605</t>
  </si>
  <si>
    <t>S6E90939</t>
  </si>
  <si>
    <t>Vehicle running time safe node on.</t>
  </si>
  <si>
    <t>JAYANKUMAR GAJJAR</t>
  </si>
  <si>
    <t>T-XJA892922</t>
  </si>
  <si>
    <t>S6E93245</t>
  </si>
  <si>
    <t>MOHAMED AZARUDEEN M</t>
  </si>
  <si>
    <t>bolt not availbale, SW pending</t>
  </si>
  <si>
    <t>PUNEMaharashtra</t>
  </si>
  <si>
    <t>T-VYT892764</t>
  </si>
  <si>
    <t>T6B93133</t>
  </si>
  <si>
    <t xml:space="preserve">Vehicle does not start and Critical fault detected stop the vehicle and contact Mahindra dealer massage showing on cluster meter. </t>
  </si>
  <si>
    <t>KABIR ANSARI</t>
  </si>
  <si>
    <t>SALEMTamil Nadu</t>
  </si>
  <si>
    <t>T-BKD893471</t>
  </si>
  <si>
    <t>S6H91992</t>
  </si>
  <si>
    <t>SAKTHIVIGNESH PERUMAL</t>
  </si>
  <si>
    <t>ANANTCARS AUTO PVT. LTD</t>
  </si>
  <si>
    <t>T-RHC894270</t>
  </si>
  <si>
    <t>S6D86724</t>
  </si>
  <si>
    <t>T-CUC894001</t>
  </si>
  <si>
    <t>T6A92323</t>
  </si>
  <si>
    <t>EV lamp on DTC (P30EC0A Auxiliary Fuse Open Error Safety)</t>
  </si>
  <si>
    <t>THANEMaharashtra</t>
  </si>
  <si>
    <t>T-HMP894352</t>
  </si>
  <si>
    <t>S6E92270</t>
  </si>
  <si>
    <t>Customer complaint Safe Mode ON after travelling over 20-30km on a single run.</t>
  </si>
  <si>
    <t>ANGHU SAMY SAMY</t>
  </si>
  <si>
    <t>T-JPS894506</t>
  </si>
  <si>
    <t>S6E90598</t>
  </si>
  <si>
    <t>IVT Current Sensor Measurement ASIL Qualification Failure (history State)</t>
  </si>
  <si>
    <t>KOSHIKA ANUP KUMAR</t>
  </si>
  <si>
    <t>TAMBARAMTamil Nadu</t>
  </si>
  <si>
    <t>T-TXS894849</t>
  </si>
  <si>
    <t>S6H92053</t>
  </si>
  <si>
    <t>TN01BW0927 BE6 vehicle approval request for IVT replacement</t>
  </si>
  <si>
    <t>KARTHIKEYAN K KALIMUTHU</t>
  </si>
  <si>
    <t>T-CQV894928</t>
  </si>
  <si>
    <t>S6J83977</t>
  </si>
  <si>
    <t>IVT SENSOR REPLACEMENT - PROGNOSIS CASE</t>
  </si>
  <si>
    <t>V. V. C. MOTORS</t>
  </si>
  <si>
    <t>T-ICA894310</t>
  </si>
  <si>
    <t>T6A90192</t>
  </si>
  <si>
    <t>CRITICAL WARRING DETECTED PLEASE CONTATCT MAHINDRA DEALER WARRING GLOWING IN CLUSTER</t>
  </si>
  <si>
    <t>GINNELA JASWANTH</t>
  </si>
  <si>
    <t>NARSINGHPUR (HARYANA)Haryana</t>
  </si>
  <si>
    <t>T-WEI896253</t>
  </si>
  <si>
    <t>S6E93588</t>
  </si>
  <si>
    <t>Intermittently EV warning lamp glowing in DID with DTC P30AA-00.</t>
  </si>
  <si>
    <t>VINEET KUMAR SINGH</t>
  </si>
  <si>
    <t>T-GKP896400</t>
  </si>
  <si>
    <t>S6E91797</t>
  </si>
  <si>
    <t>Safe mode Pop showing in DID, and EV malfunction lamp is glowing (P30AA00).</t>
  </si>
  <si>
    <t>RAVI RAJ</t>
  </si>
  <si>
    <t>SIREESH AUTO PVT. LTD.</t>
  </si>
  <si>
    <t>T-NTT896798</t>
  </si>
  <si>
    <t>S6G85685</t>
  </si>
  <si>
    <t>VINAY KUMAR DH</t>
  </si>
  <si>
    <t>T-BVB897029</t>
  </si>
  <si>
    <t>S6F95498</t>
  </si>
  <si>
    <t>IVT SENSOR REPLACEMENT - PROGNOSIS CASE.</t>
  </si>
  <si>
    <t>SAVAN IB AUTOWINGS PRIVATE LIMITED</t>
  </si>
  <si>
    <t>T-WBC896885</t>
  </si>
  <si>
    <t>S6B90001</t>
  </si>
  <si>
    <t xml:space="preserve">Vehicle not drive enable and BMS not connected </t>
  </si>
  <si>
    <t>MAHADEV KAMBALE</t>
  </si>
  <si>
    <t>GANDHI MOTORS</t>
  </si>
  <si>
    <t>NORTH SOLAPURMaharashtra</t>
  </si>
  <si>
    <t>T-GEF897294</t>
  </si>
  <si>
    <t>S6E91129</t>
  </si>
  <si>
    <t>IVT Sensor Update - S6E91129</t>
  </si>
  <si>
    <t>SAGAR PAIKEKARI</t>
  </si>
  <si>
    <t>T-VQP897229</t>
  </si>
  <si>
    <t>S6E92670</t>
  </si>
  <si>
    <t>EV WARNING LAMP SHOW WITH DTC P30AA00</t>
  </si>
  <si>
    <t>SAHIL SHITAP</t>
  </si>
  <si>
    <t>UNNATI MOTORS, A DIVISION OF MICROPARK LOGISTICS PRIVATE LIMITED</t>
  </si>
  <si>
    <t>T-LRR897525</t>
  </si>
  <si>
    <t>S6H91556</t>
  </si>
  <si>
    <t>SHAFIK SHAIKH</t>
  </si>
  <si>
    <t>T-PVJ897698</t>
  </si>
  <si>
    <t>S6F94811</t>
  </si>
  <si>
    <t>IVT Sensor error (BMS Flashing required)</t>
  </si>
  <si>
    <t>BHASKAR REDDY H A</t>
  </si>
  <si>
    <t>T-AOU897344</t>
  </si>
  <si>
    <t>S6F94815</t>
  </si>
  <si>
    <t>Intermittently Safe mode error and EV malfunction lamp is glowing in DID while driving with DTC P30AA-00</t>
  </si>
  <si>
    <t>T-TGW897727</t>
  </si>
  <si>
    <t>S6D89447</t>
  </si>
  <si>
    <t xml:space="preserve">IVT sensor flashing </t>
  </si>
  <si>
    <t>T-TOO897870</t>
  </si>
  <si>
    <t>S6F96515</t>
  </si>
  <si>
    <t>KANCHIPURAMTamil Nadu</t>
  </si>
  <si>
    <t>T-WBP897608</t>
  </si>
  <si>
    <t>S6B89713</t>
  </si>
  <si>
    <t xml:space="preserve">IVT replacement </t>
  </si>
  <si>
    <t>BOOPALAN KOTHANDAM</t>
  </si>
  <si>
    <t>UNITED AUTOMOBILES</t>
  </si>
  <si>
    <t>T-NRO897692</t>
  </si>
  <si>
    <t>S6J95626</t>
  </si>
  <si>
    <t>IVT Software update</t>
  </si>
  <si>
    <t>ARJUN UPADHYAY</t>
  </si>
  <si>
    <t>T-MXL898163</t>
  </si>
  <si>
    <t>S6E92811</t>
  </si>
  <si>
    <t>IVT sensor flashing</t>
  </si>
  <si>
    <t>GOPAL KUMAR</t>
  </si>
  <si>
    <t>T-HTN898231</t>
  </si>
  <si>
    <t>S6H94991</t>
  </si>
  <si>
    <t>IVT sensor Error in BMS(Healed Status)</t>
  </si>
  <si>
    <t>T-VFF898194</t>
  </si>
  <si>
    <t>T6B93933</t>
  </si>
  <si>
    <t>SOC 0% show and Vehicle is not move, 9S</t>
  </si>
  <si>
    <t>JAY SINGH</t>
  </si>
  <si>
    <t>T-ISC898410</t>
  </si>
  <si>
    <t>S6E93726</t>
  </si>
  <si>
    <t>Critical High Fault HV Warning Lamp and Service telltale lamp blinking.</t>
  </si>
  <si>
    <t>CSC failure-Suspect Capacitor crack</t>
  </si>
  <si>
    <t>INDRAPRASTHA AUTOMOBILES PVT. LTD.</t>
  </si>
  <si>
    <t>DELHIDelhi</t>
  </si>
  <si>
    <t>T-UHS898420</t>
  </si>
  <si>
    <t>S6B88451</t>
  </si>
  <si>
    <t>IVT sensor update as per CCM</t>
  </si>
  <si>
    <t>AASHISH SINGH RAWAT</t>
  </si>
  <si>
    <t>T-CRV899022</t>
  </si>
  <si>
    <t>S6E91234</t>
  </si>
  <si>
    <t>SHANTINATH HATGINE</t>
  </si>
  <si>
    <t>SOMYA VEHICLE SOLUTIONS PVT LTD</t>
  </si>
  <si>
    <t>BHOPALMadhya Pradesh</t>
  </si>
  <si>
    <t>Madhya Pradhesh</t>
  </si>
  <si>
    <t>T-LON898941</t>
  </si>
  <si>
    <t>T6A90136</t>
  </si>
  <si>
    <t>Vehicle drive mode does not enabling because high battery voltage is disconnected message comes in DID screen.</t>
  </si>
  <si>
    <t>SALMAN KHAN</t>
  </si>
  <si>
    <t>T-ADY899102</t>
  </si>
  <si>
    <t>S6F84188</t>
  </si>
  <si>
    <t>IVT Sensor Update - S6F84188</t>
  </si>
  <si>
    <t>T-XKO899076</t>
  </si>
  <si>
    <t>TROB AUTO INDIA PVT. LTD.(DEE EMM)</t>
  </si>
  <si>
    <t>BADSHAHPURHaryana</t>
  </si>
  <si>
    <t>T-VBA899242</t>
  </si>
  <si>
    <t>S6E93890</t>
  </si>
  <si>
    <t>Request for (ITV Software) update.</t>
  </si>
  <si>
    <t>MOHD ALEEM</t>
  </si>
  <si>
    <t>GURGAONHaryana</t>
  </si>
  <si>
    <t>T-WDV899374</t>
  </si>
  <si>
    <t>S6H92504</t>
  </si>
  <si>
    <t>EV warning lamp coming in DID and low pickup.</t>
  </si>
  <si>
    <t>SANJAY KUMAR</t>
  </si>
  <si>
    <t>T-QAH899325</t>
  </si>
  <si>
    <t>S6D87269</t>
  </si>
  <si>
    <t>Intermittently EV warning lamp glowing in DID with DTC P30AA-00.(Request for BMS flashing)</t>
  </si>
  <si>
    <t>LALIT KUMAR</t>
  </si>
  <si>
    <t>T-JMY899234</t>
  </si>
  <si>
    <t>S6D89899</t>
  </si>
  <si>
    <t>IVT sensor check -Prognosis case</t>
  </si>
  <si>
    <t>STAR AUTOMOBILES M. P. LTD.</t>
  </si>
  <si>
    <t>JABALPURMadhya Pradesh</t>
  </si>
  <si>
    <t>T-QNX899175</t>
  </si>
  <si>
    <t>S6A85399</t>
  </si>
  <si>
    <t>EV warning ON in DID after replace MCU Motor- DTC-P363E01 (Pyro smart fuse open safety).</t>
  </si>
  <si>
    <t>DINESH KOSHTI</t>
  </si>
  <si>
    <t>T-AHD899620</t>
  </si>
  <si>
    <t>S6D87755</t>
  </si>
  <si>
    <t xml:space="preserve">SRIHARSHA DEVI VENKATA </t>
  </si>
  <si>
    <t>T-MTA899540</t>
  </si>
  <si>
    <t>T6A85870</t>
  </si>
  <si>
    <t>CRITICAL FAULT DETECTED</t>
  </si>
  <si>
    <t>NATRAJ MOBILES PVT. LTD.</t>
  </si>
  <si>
    <t>JHANSIUttar Pradesh</t>
  </si>
  <si>
    <t>T-CCG899985</t>
  </si>
  <si>
    <t>S6F94948</t>
  </si>
  <si>
    <t>YADVENDRA TOMAR</t>
  </si>
  <si>
    <t>BANGALORE, KARNATAKA</t>
  </si>
  <si>
    <t>T-MRT898845</t>
  </si>
  <si>
    <t>S6J95391</t>
  </si>
  <si>
    <t>EV warning lamp blinking</t>
  </si>
  <si>
    <t>PAVAN YADAV M</t>
  </si>
  <si>
    <t>LEADER AUTO SALES PVT LTD</t>
  </si>
  <si>
    <t>PATNABihar</t>
  </si>
  <si>
    <t>Bihar</t>
  </si>
  <si>
    <t>T-WEH900849</t>
  </si>
  <si>
    <t>S6E92422</t>
  </si>
  <si>
    <t xml:space="preserve">IVT Sensor check- prognosis case, </t>
  </si>
  <si>
    <t>RANJEET KUMAR</t>
  </si>
  <si>
    <t>AUTOMOTIVE MANUFACTURER PVT LTD</t>
  </si>
  <si>
    <t>T-AQU900013</t>
  </si>
  <si>
    <t>S6B89228</t>
  </si>
  <si>
    <t>Break down vehicle(Critical fault detected ) P0B5500 — Cell Voltage Measurement Plausibility — Module 6</t>
  </si>
  <si>
    <t>OMKAR JADHAV</t>
  </si>
  <si>
    <t>Non-Repairable</t>
  </si>
  <si>
    <t>T-VMR900812</t>
  </si>
  <si>
    <t>T6A89870</t>
  </si>
  <si>
    <t>HV BATTERY MALFUNCTION POPUP COMING ALWAYS-VECHILE RECEIVED IN RSA</t>
  </si>
  <si>
    <t>SRIDHAR PRAKASAM</t>
  </si>
  <si>
    <t>T-SCX901634</t>
  </si>
  <si>
    <t>S6E93299</t>
  </si>
  <si>
    <t>EV warning lamp on during running condition along with torque limitation active FOUND DTC-P351600,P30AA00 &amp; P341E00)</t>
  </si>
  <si>
    <t>PRATEEK RAI</t>
  </si>
  <si>
    <t>T-MQH901690</t>
  </si>
  <si>
    <t>S6G86622</t>
  </si>
  <si>
    <t>CHANDRAJEET JHA</t>
  </si>
  <si>
    <t>T-GGV902110</t>
  </si>
  <si>
    <t>S6E93438</t>
  </si>
  <si>
    <t>MYSOREKarnataka</t>
  </si>
  <si>
    <t>T-NRO902027</t>
  </si>
  <si>
    <t>S6F94186</t>
  </si>
  <si>
    <t>KARTHIK S</t>
  </si>
  <si>
    <t>MARSHAL TRADING COMPANY</t>
  </si>
  <si>
    <t>T-KMM902436</t>
  </si>
  <si>
    <t>S6F94117</t>
  </si>
  <si>
    <t>Safe mode pop-up showing in DID, and EV malfunction lamp is glowing (P30AA00).</t>
  </si>
  <si>
    <t>JAYSWAL ANKUR</t>
  </si>
  <si>
    <t>T-OLK902956</t>
  </si>
  <si>
    <t>S6E90631</t>
  </si>
  <si>
    <t xml:space="preserve">EV WARNING LAMP SHOW WITH DTC P30AA00 </t>
  </si>
  <si>
    <t>T-MYX903716</t>
  </si>
  <si>
    <t>T6C87935</t>
  </si>
  <si>
    <t>Hv warning lamps on and drive does not enable</t>
  </si>
  <si>
    <t>Temp Issue</t>
  </si>
  <si>
    <t>Unnati Motors Wagholi</t>
  </si>
  <si>
    <t>T6A91758</t>
  </si>
  <si>
    <t>HV disconnect issue</t>
  </si>
  <si>
    <t>Jitendra</t>
  </si>
  <si>
    <t>BMS Node absent</t>
  </si>
  <si>
    <t>PARAM WHEELS LLP</t>
  </si>
  <si>
    <t>VADODARAGujarat</t>
  </si>
  <si>
    <t>T-JJG904218</t>
  </si>
  <si>
    <t>T6A90582</t>
  </si>
  <si>
    <t>HV WARNING LAMP ON AND NOT GETTING DRIVE ENABLE</t>
  </si>
  <si>
    <t>AAKASH PRAJAPATI</t>
  </si>
  <si>
    <t>NAIK MOTORS</t>
  </si>
  <si>
    <t>SALCETEGoa</t>
  </si>
  <si>
    <t>T-JYI904323</t>
  </si>
  <si>
    <t>S6H91991</t>
  </si>
  <si>
    <t>HV BATTERY LAMP &amp; EV MALFUNCTION LAMP BLINKING / P363E01 — Pyro Smart Fuse Open Safety/ PYRO FUSE OPEN</t>
  </si>
  <si>
    <t>NANDAN SANVORDEKAR</t>
  </si>
  <si>
    <t>T-OKE905309</t>
  </si>
  <si>
    <t>S6K91696</t>
  </si>
  <si>
    <t>HV system fault (P363E-01 &amp; U1047-00)</t>
  </si>
  <si>
    <t>AMEERPETTelangana</t>
  </si>
  <si>
    <t>S6B88031</t>
  </si>
  <si>
    <t>BMS not Communicating with MiDA tool.</t>
  </si>
  <si>
    <t>BMS Issue</t>
  </si>
  <si>
    <t>T-VRP905675</t>
  </si>
  <si>
    <t>S6H93619</t>
  </si>
  <si>
    <t>T6A85364</t>
  </si>
  <si>
    <t>CRITICAL FUALT DETECTED VEHICLE RECEIVED IN BREAKDOWN-P363E01- Pyro Smart Fuse Open_Safety- Error is confirmed.</t>
  </si>
  <si>
    <t>S6D88227</t>
  </si>
  <si>
    <t xml:space="preserve">Vehicle not moving .Critical malfunction massage coming in the DID . </t>
  </si>
  <si>
    <t>S6A86657</t>
  </si>
  <si>
    <t>PYRO ALERT PARK &amp; LEAVE THE VEHICLE IMMEDIATELY WARING DISPLAY IN CID &amp; DID</t>
  </si>
  <si>
    <t>S6B88879</t>
  </si>
  <si>
    <t xml:space="preserve">Drive Mode Not enable and EV lamp On </t>
  </si>
  <si>
    <t>45-50K</t>
  </si>
  <si>
    <t>AMPL</t>
  </si>
  <si>
    <t>HYDERABAD, uppal</t>
  </si>
  <si>
    <t>T6D92437</t>
  </si>
  <si>
    <t>Vehicle reported to workshop in breakdown condition, further we have connected MIDA tool and found DTC in BMS *(P363E01 — Pyro Smart Fuse Open_Safety) in current.*</t>
  </si>
  <si>
    <t>S6J84626</t>
  </si>
  <si>
    <t>Vehicle does not start, The DID displayed the message “Critical Fault Detected.</t>
  </si>
  <si>
    <t>AHMEDABADGujarat</t>
  </si>
  <si>
    <t>S6F95808</t>
  </si>
  <si>
    <t>low range in vehicle</t>
  </si>
  <si>
    <t>Low range</t>
  </si>
  <si>
    <t>Range Issue</t>
  </si>
  <si>
    <t>T6A84297</t>
  </si>
  <si>
    <t>HV SYSTEM FAULT SHOWING IN DID &amp; CID VEHICLE DOES NOT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</si>
</sst>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font>
      <sz val="11"/>
      <color theme="1"/>
      <name val="Aptos Narrow"/>
      <family val="2"/>
      <scheme val="minor"/>
    </font>
    <font>
      <b/>
      <sz val="8"/>
      <color theme="1"/>
      <name val="Aptos Narrow"/>
      <family val="2"/>
      <scheme val="minor"/>
    </font>
    <font>
      <sz val="8"/>
      <color theme="1"/>
      <name val="Aptos Narrow"/>
      <family val="2"/>
      <scheme val="minor"/>
    </font>
    <font>
      <sz val="8"/>
      <color rgb="FF000000"/>
      <name val="Calibri"/>
      <family val="2"/>
    </font>
    <font>
      <sz val="8"/>
      <color theme="1"/>
      <name val="Arial"/>
      <family val="2"/>
    </font>
    <font>
      <sz val="8"/>
      <color rgb="FF000000"/>
      <name val="Aptos"/>
      <family val="2"/>
    </font>
    <font>
      <vertAlign val="superscript"/>
      <sz val="8"/>
      <color rgb="FF000000"/>
      <name val="Aptos"/>
      <family val="2"/>
    </font>
    <font>
      <sz val="8"/>
      <color rgb="FF000000"/>
      <name val="Aptos Narrow"/>
      <family val="2"/>
      <scheme val="minor"/>
    </font>
    <font>
      <sz val="8"/>
      <color rgb="FF000000"/>
      <name val="Aptos"/>
      <family val="2"/>
      <charset val="1"/>
    </font>
    <font>
      <sz val="8"/>
      <color rgb="FF000000"/>
      <name val="Aptos Narrow"/>
      <family val="2"/>
    </font>
    <font>
      <sz val="8"/>
      <color rgb="FF242424"/>
      <name val="Aptos Narrow"/>
      <family val="2"/>
    </font>
    <font>
      <sz val="8"/>
      <color rgb="FF000000"/>
      <name val="Arial"/>
      <family val="2"/>
    </font>
    <font>
      <sz val="8"/>
      <color theme="1"/>
      <name val="Aptos"/>
      <family val="2"/>
      <charset val="1"/>
    </font>
    <font>
      <sz val="8"/>
      <color theme="1"/>
      <name val="Aptos"/>
      <family val="2"/>
    </font>
    <font>
      <sz val="8"/>
      <color theme="1"/>
      <name val="Aptos Display"/>
      <family val="2"/>
      <scheme val="major"/>
    </font>
    <font>
      <sz val="8"/>
      <color theme="1"/>
      <name val="Roboto"/>
    </font>
    <font>
      <sz val="8"/>
      <color theme="1"/>
      <name val="Calibri"/>
      <family val="2"/>
    </font>
    <font>
      <sz val="8"/>
      <color rgb="FF3B3F43"/>
      <name val="Calibri"/>
      <family val="2"/>
    </font>
    <font>
      <sz val="8"/>
      <color rgb="FF000000"/>
      <name val="Calibri"/>
      <family val="2"/>
      <charset val="1"/>
    </font>
    <font>
      <sz val="8"/>
      <color rgb="FF000000"/>
      <name val="Promptregular"/>
      <charset val="1"/>
    </font>
    <font>
      <b/>
      <sz val="9"/>
      <color indexed="81"/>
      <name val="Tahoma"/>
      <family val="2"/>
    </font>
    <font>
      <sz val="9"/>
      <color indexed="81"/>
      <name val="Tahoma"/>
      <family val="2"/>
    </font>
  </fonts>
  <fills count="11">
    <fill>
      <patternFill patternType="none"/>
    </fill>
    <fill>
      <patternFill patternType="gray125"/>
    </fill>
    <fill>
      <patternFill patternType="solid">
        <fgColor theme="8"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s>
  <borders count="1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diagonal/>
    </border>
    <border>
      <left/>
      <right style="dotted">
        <color theme="0" tint="-0.34998626667073579"/>
      </right>
      <top style="dotted">
        <color theme="0" tint="-0.34998626667073579"/>
      </top>
      <bottom style="dotted">
        <color theme="0" tint="-0.34998626667073579"/>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17" fontId="2" fillId="2" borderId="2" xfId="0" applyNumberFormat="1" applyFont="1" applyFill="1" applyBorder="1" applyAlignment="1">
      <alignment horizontal="left" vertical="center" wrapText="1"/>
    </xf>
    <xf numFmtId="0" fontId="2" fillId="6" borderId="4" xfId="0" applyFont="1" applyFill="1" applyBorder="1" applyAlignment="1">
      <alignment horizontal="left" vertical="center"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0" xfId="0" applyFont="1" applyFill="1" applyAlignment="1">
      <alignment horizontal="left"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17" fontId="2" fillId="0" borderId="2" xfId="0" applyNumberFormat="1" applyFont="1" applyBorder="1" applyAlignment="1">
      <alignment horizontal="left" vertical="center" wrapText="1"/>
    </xf>
    <xf numFmtId="15" fontId="2" fillId="0" borderId="4" xfId="0" applyNumberFormat="1" applyFont="1" applyBorder="1" applyAlignment="1">
      <alignment horizontal="left" vertical="center" wrapText="1"/>
    </xf>
    <xf numFmtId="1" fontId="2" fillId="0" borderId="2" xfId="0" applyNumberFormat="1" applyFont="1" applyBorder="1" applyAlignment="1">
      <alignment horizontal="center" vertical="center" wrapText="1"/>
    </xf>
    <xf numFmtId="15" fontId="2" fillId="0" borderId="2" xfId="0" applyNumberFormat="1" applyFont="1" applyBorder="1" applyAlignment="1">
      <alignment horizontal="center" vertical="center" wrapText="1"/>
    </xf>
    <xf numFmtId="0" fontId="2" fillId="0" borderId="0" xfId="0" applyFont="1" applyAlignment="1">
      <alignment horizontal="left" vertical="center" wrapText="1"/>
    </xf>
    <xf numFmtId="3" fontId="2" fillId="0" borderId="2" xfId="0" applyNumberFormat="1" applyFont="1" applyBorder="1" applyAlignment="1">
      <alignment horizontal="left" vertical="center" wrapText="1"/>
    </xf>
    <xf numFmtId="0" fontId="2" fillId="0" borderId="2" xfId="0" quotePrefix="1" applyFont="1" applyBorder="1" applyAlignment="1">
      <alignment horizontal="left" vertical="center" wrapText="1"/>
    </xf>
    <xf numFmtId="15" fontId="2" fillId="0" borderId="4" xfId="0" applyNumberFormat="1" applyFont="1" applyBorder="1" applyAlignment="1">
      <alignment horizontal="left" vertical="center"/>
    </xf>
    <xf numFmtId="0" fontId="2" fillId="0" borderId="2" xfId="0" applyFont="1" applyBorder="1" applyAlignment="1">
      <alignment horizontal="left" vertical="center"/>
    </xf>
    <xf numFmtId="3" fontId="2" fillId="0" borderId="2" xfId="0" applyNumberFormat="1"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15" fontId="2" fillId="0" borderId="0" xfId="0" applyNumberFormat="1" applyFont="1" applyAlignment="1">
      <alignment horizontal="left" vertical="center"/>
    </xf>
    <xf numFmtId="0" fontId="3" fillId="0" borderId="0" xfId="0" applyFont="1" applyAlignment="1">
      <alignment horizontal="left" vertical="center" wrapText="1" readingOrder="1"/>
    </xf>
    <xf numFmtId="3" fontId="3" fillId="0" borderId="0" xfId="0" applyNumberFormat="1" applyFont="1" applyAlignment="1">
      <alignment horizontal="left" vertical="center" wrapText="1" readingOrder="1"/>
    </xf>
    <xf numFmtId="15" fontId="2" fillId="0" borderId="0" xfId="0" applyNumberFormat="1" applyFont="1" applyAlignment="1">
      <alignment horizontal="left" vertical="center" wrapText="1"/>
    </xf>
    <xf numFmtId="0" fontId="2" fillId="0" borderId="4" xfId="0" applyFont="1" applyBorder="1" applyAlignment="1">
      <alignment horizontal="left" vertical="center"/>
    </xf>
    <xf numFmtId="0" fontId="2" fillId="0" borderId="4" xfId="0" applyFont="1" applyBorder="1" applyAlignment="1">
      <alignment horizontal="center" vertical="center"/>
    </xf>
    <xf numFmtId="17" fontId="4" fillId="0" borderId="4" xfId="0" applyNumberFormat="1" applyFont="1" applyBorder="1" applyAlignment="1">
      <alignment horizontal="left" vertical="center" wrapText="1"/>
    </xf>
    <xf numFmtId="0" fontId="2" fillId="0" borderId="6" xfId="0" applyFont="1" applyBorder="1" applyAlignment="1">
      <alignment horizontal="left" vertical="center" wrapText="1"/>
    </xf>
    <xf numFmtId="3" fontId="2" fillId="0" borderId="4" xfId="0" applyNumberFormat="1" applyFont="1" applyBorder="1" applyAlignment="1">
      <alignment horizontal="left" vertical="center"/>
    </xf>
    <xf numFmtId="0" fontId="5"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vertical="center" wrapText="1"/>
    </xf>
    <xf numFmtId="0" fontId="7" fillId="0" borderId="4" xfId="0" applyFont="1" applyBorder="1" applyAlignment="1">
      <alignment horizontal="center" vertical="center" wrapText="1"/>
    </xf>
    <xf numFmtId="3" fontId="2" fillId="0" borderId="4" xfId="0" applyNumberFormat="1" applyFont="1" applyBorder="1" applyAlignment="1">
      <alignment horizontal="left" vertical="center" wrapText="1"/>
    </xf>
    <xf numFmtId="0" fontId="7" fillId="0" borderId="4" xfId="0" applyFont="1" applyBorder="1" applyAlignment="1">
      <alignment horizontal="left" vertical="center" wrapText="1"/>
    </xf>
    <xf numFmtId="17" fontId="4" fillId="0" borderId="4" xfId="0" applyNumberFormat="1" applyFont="1" applyBorder="1" applyAlignment="1">
      <alignment horizontal="left" vertical="center"/>
    </xf>
    <xf numFmtId="0" fontId="3" fillId="0" borderId="4" xfId="0" applyFont="1" applyBorder="1" applyAlignment="1">
      <alignment horizontal="left" vertical="center" wrapText="1" readingOrder="1"/>
    </xf>
    <xf numFmtId="0" fontId="8" fillId="0" borderId="4" xfId="0" applyFont="1" applyBorder="1" applyAlignment="1">
      <alignment horizontal="center" vertical="center" wrapText="1"/>
    </xf>
    <xf numFmtId="0" fontId="2" fillId="4" borderId="4" xfId="0" applyFont="1" applyFill="1" applyBorder="1" applyAlignment="1">
      <alignment horizontal="left" vertical="center"/>
    </xf>
    <xf numFmtId="0" fontId="9" fillId="0" borderId="4"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left" vertical="center" wrapText="1"/>
    </xf>
    <xf numFmtId="0" fontId="11" fillId="0" borderId="9" xfId="0" applyFont="1" applyBorder="1" applyAlignment="1">
      <alignment horizontal="left" vertical="center" wrapText="1"/>
    </xf>
    <xf numFmtId="0" fontId="8" fillId="0" borderId="4" xfId="0" applyFont="1" applyBorder="1" applyAlignment="1">
      <alignment horizontal="left" vertical="center" wrapText="1"/>
    </xf>
    <xf numFmtId="0" fontId="13"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12" fillId="0" borderId="4" xfId="0" applyFont="1" applyBorder="1" applyAlignment="1">
      <alignment horizontal="center" vertical="center"/>
    </xf>
    <xf numFmtId="0" fontId="12" fillId="0" borderId="4" xfId="0" applyFont="1" applyBorder="1" applyAlignment="1">
      <alignment horizontal="left" vertical="center" wrapText="1"/>
    </xf>
    <xf numFmtId="0" fontId="13" fillId="0" borderId="4" xfId="0" applyFont="1" applyBorder="1" applyAlignment="1">
      <alignment horizontal="center" vertical="center"/>
    </xf>
    <xf numFmtId="0" fontId="14" fillId="0" borderId="4" xfId="0" applyFont="1" applyBorder="1" applyAlignment="1">
      <alignment horizontal="center" vertical="center" wrapText="1"/>
    </xf>
    <xf numFmtId="0" fontId="11" fillId="0" borderId="10" xfId="0" applyFont="1" applyBorder="1" applyAlignment="1">
      <alignment horizontal="left" vertical="center" wrapText="1"/>
    </xf>
    <xf numFmtId="0" fontId="13" fillId="0" borderId="4" xfId="0" applyFont="1" applyBorder="1" applyAlignment="1">
      <alignment horizontal="left" vertical="center" wrapText="1"/>
    </xf>
    <xf numFmtId="0" fontId="2" fillId="0" borderId="4" xfId="0" quotePrefix="1"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15"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1" fillId="0" borderId="4" xfId="0" applyFont="1" applyBorder="1" applyAlignment="1">
      <alignment horizontal="left" vertical="center" wrapText="1"/>
    </xf>
    <xf numFmtId="0" fontId="4" fillId="0" borderId="4" xfId="0" applyFont="1" applyBorder="1" applyAlignment="1">
      <alignment horizontal="left" vertical="center" wrapText="1"/>
    </xf>
    <xf numFmtId="0" fontId="4" fillId="0" borderId="11" xfId="0" applyFont="1" applyBorder="1" applyAlignment="1">
      <alignment horizontal="left" vertical="center"/>
    </xf>
    <xf numFmtId="0" fontId="9" fillId="7"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0" fillId="0" borderId="4" xfId="0" applyFont="1" applyBorder="1" applyAlignment="1">
      <alignment horizontal="left" vertical="center"/>
    </xf>
    <xf numFmtId="0" fontId="5" fillId="0" borderId="4" xfId="0" applyFont="1" applyBorder="1" applyAlignment="1">
      <alignment horizontal="center" vertical="center" wrapText="1"/>
    </xf>
    <xf numFmtId="0" fontId="11" fillId="0" borderId="11" xfId="0" applyFont="1" applyBorder="1" applyAlignment="1">
      <alignment horizontal="left" vertical="center" wrapText="1"/>
    </xf>
    <xf numFmtId="0" fontId="2" fillId="0" borderId="5" xfId="0" applyFont="1" applyBorder="1" applyAlignment="1">
      <alignment horizontal="left" vertical="center"/>
    </xf>
    <xf numFmtId="0" fontId="18" fillId="0" borderId="4" xfId="0" applyFont="1" applyBorder="1" applyAlignment="1">
      <alignment horizontal="center" vertical="center"/>
    </xf>
    <xf numFmtId="14" fontId="2" fillId="0" borderId="4" xfId="0" applyNumberFormat="1" applyFont="1" applyBorder="1" applyAlignment="1">
      <alignment horizontal="center" vertical="center"/>
    </xf>
    <xf numFmtId="0" fontId="2" fillId="8" borderId="4" xfId="0" applyFont="1" applyFill="1" applyBorder="1" applyAlignment="1">
      <alignment horizontal="center" vertical="center"/>
    </xf>
    <xf numFmtId="0" fontId="19" fillId="7" borderId="4" xfId="0" applyFont="1" applyFill="1" applyBorder="1" applyAlignment="1">
      <alignment horizontal="center" vertical="center"/>
    </xf>
    <xf numFmtId="14" fontId="2" fillId="0" borderId="4" xfId="0" applyNumberFormat="1" applyFont="1" applyBorder="1" applyAlignment="1">
      <alignment horizontal="center" vertical="center" wrapText="1"/>
    </xf>
    <xf numFmtId="0" fontId="2" fillId="7" borderId="4" xfId="0" applyFont="1" applyFill="1" applyBorder="1" applyAlignment="1">
      <alignment horizontal="center" vertical="center" wrapText="1"/>
    </xf>
    <xf numFmtId="17" fontId="2" fillId="0" borderId="4" xfId="0" applyNumberFormat="1" applyFont="1" applyBorder="1" applyAlignment="1">
      <alignment horizontal="left" vertical="center"/>
    </xf>
    <xf numFmtId="0" fontId="2" fillId="8" borderId="4" xfId="0" applyFont="1" applyFill="1" applyBorder="1" applyAlignment="1">
      <alignment horizontal="center" vertical="center" wrapText="1"/>
    </xf>
    <xf numFmtId="14" fontId="2" fillId="8" borderId="4" xfId="0" applyNumberFormat="1" applyFont="1" applyFill="1" applyBorder="1" applyAlignment="1">
      <alignment horizontal="center" vertical="center"/>
    </xf>
    <xf numFmtId="0" fontId="2" fillId="8" borderId="2" xfId="0" applyFont="1" applyFill="1" applyBorder="1" applyAlignment="1">
      <alignment horizontal="center" vertical="center" wrapText="1"/>
    </xf>
    <xf numFmtId="0" fontId="2" fillId="8" borderId="4" xfId="0" applyFont="1" applyFill="1" applyBorder="1" applyAlignment="1">
      <alignment horizontal="left" vertical="center" wrapText="1"/>
    </xf>
    <xf numFmtId="0" fontId="2" fillId="8" borderId="4" xfId="0" applyFont="1" applyFill="1" applyBorder="1" applyAlignment="1">
      <alignment horizontal="left" vertical="center"/>
    </xf>
    <xf numFmtId="0" fontId="2" fillId="8" borderId="2" xfId="0" applyFont="1" applyFill="1" applyBorder="1" applyAlignment="1">
      <alignment horizontal="left" vertical="center" wrapText="1"/>
    </xf>
    <xf numFmtId="0" fontId="2" fillId="8" borderId="7" xfId="0" applyFont="1" applyFill="1" applyBorder="1" applyAlignment="1">
      <alignment horizontal="left" vertical="center"/>
    </xf>
    <xf numFmtId="0" fontId="2" fillId="8" borderId="8" xfId="0" applyFont="1" applyFill="1" applyBorder="1" applyAlignment="1">
      <alignment horizontal="left" vertical="center"/>
    </xf>
    <xf numFmtId="17" fontId="2" fillId="8" borderId="4" xfId="0" applyNumberFormat="1" applyFont="1" applyFill="1" applyBorder="1" applyAlignment="1">
      <alignment horizontal="left" vertical="center"/>
    </xf>
    <xf numFmtId="17" fontId="4" fillId="8" borderId="4" xfId="0" applyNumberFormat="1" applyFont="1" applyFill="1" applyBorder="1" applyAlignment="1">
      <alignment horizontal="left" vertical="center" wrapText="1"/>
    </xf>
    <xf numFmtId="1" fontId="2" fillId="8" borderId="2" xfId="0" applyNumberFormat="1" applyFont="1" applyFill="1" applyBorder="1" applyAlignment="1">
      <alignment horizontal="center" vertical="center" wrapText="1"/>
    </xf>
    <xf numFmtId="15" fontId="2" fillId="8" borderId="2" xfId="0" applyNumberFormat="1" applyFont="1" applyFill="1" applyBorder="1" applyAlignment="1">
      <alignment horizontal="center" vertical="center" wrapText="1"/>
    </xf>
    <xf numFmtId="3" fontId="2" fillId="8" borderId="4" xfId="0" applyNumberFormat="1" applyFont="1" applyFill="1" applyBorder="1" applyAlignment="1">
      <alignment horizontal="left" vertical="center"/>
    </xf>
    <xf numFmtId="0" fontId="2" fillId="8" borderId="0" xfId="0" applyFont="1" applyFill="1" applyAlignment="1">
      <alignment horizontal="left" vertical="center"/>
    </xf>
    <xf numFmtId="22" fontId="2" fillId="0" borderId="4" xfId="0" applyNumberFormat="1" applyFont="1" applyBorder="1" applyAlignment="1">
      <alignment horizontal="center" vertical="center"/>
    </xf>
    <xf numFmtId="0" fontId="2" fillId="0" borderId="2" xfId="0" applyFont="1" applyBorder="1" applyAlignment="1">
      <alignment horizontal="center" vertical="center"/>
    </xf>
    <xf numFmtId="22" fontId="2" fillId="0" borderId="4" xfId="0" applyNumberFormat="1" applyFont="1" applyBorder="1" applyAlignment="1">
      <alignment horizontal="center" vertical="center" wrapText="1"/>
    </xf>
    <xf numFmtId="17" fontId="2" fillId="0" borderId="4" xfId="0" applyNumberFormat="1" applyFont="1" applyBorder="1" applyAlignment="1">
      <alignment horizontal="left" vertical="center" wrapText="1"/>
    </xf>
    <xf numFmtId="17" fontId="4" fillId="0" borderId="4" xfId="0" applyNumberFormat="1" applyFont="1" applyBorder="1" applyAlignment="1">
      <alignment horizontal="center" vertical="center" wrapText="1"/>
    </xf>
    <xf numFmtId="0" fontId="2" fillId="0" borderId="12" xfId="0" applyFont="1" applyBorder="1" applyAlignment="1">
      <alignment horizontal="center" vertical="center" wrapText="1"/>
    </xf>
    <xf numFmtId="0" fontId="2" fillId="7" borderId="4" xfId="0" applyFont="1" applyFill="1" applyBorder="1" applyAlignment="1">
      <alignment horizontal="center" vertical="center"/>
    </xf>
    <xf numFmtId="15" fontId="2" fillId="0" borderId="4" xfId="0" applyNumberFormat="1" applyFont="1" applyBorder="1" applyAlignment="1">
      <alignment horizontal="center" vertical="center"/>
    </xf>
    <xf numFmtId="15" fontId="2" fillId="0" borderId="6" xfId="0" applyNumberFormat="1" applyFont="1" applyBorder="1" applyAlignment="1">
      <alignment horizontal="center" vertical="center"/>
    </xf>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17" fontId="2" fillId="0" borderId="6" xfId="0" applyNumberFormat="1" applyFont="1" applyBorder="1" applyAlignment="1">
      <alignment horizontal="left" vertical="center"/>
    </xf>
    <xf numFmtId="15" fontId="2" fillId="0" borderId="4" xfId="0" applyNumberFormat="1" applyFont="1" applyBorder="1" applyAlignment="1">
      <alignment horizontal="center" vertical="center" wrapText="1"/>
    </xf>
    <xf numFmtId="0" fontId="2" fillId="0" borderId="14" xfId="0" applyFont="1" applyBorder="1" applyAlignment="1">
      <alignment horizontal="center" vertical="center" wrapText="1"/>
    </xf>
    <xf numFmtId="14" fontId="2" fillId="0" borderId="6" xfId="0" applyNumberFormat="1" applyFont="1" applyBorder="1" applyAlignment="1">
      <alignment horizontal="center" vertical="center"/>
    </xf>
    <xf numFmtId="17" fontId="2" fillId="0" borderId="6" xfId="0" applyNumberFormat="1" applyFont="1" applyBorder="1" applyAlignment="1">
      <alignment horizontal="left" vertical="center" wrapText="1"/>
    </xf>
    <xf numFmtId="0" fontId="2" fillId="0" borderId="15" xfId="0" applyFont="1" applyBorder="1" applyAlignment="1">
      <alignment horizontal="left" vertical="center" wrapText="1"/>
    </xf>
    <xf numFmtId="17" fontId="2" fillId="0" borderId="15" xfId="0" applyNumberFormat="1" applyFont="1" applyBorder="1" applyAlignment="1">
      <alignment horizontal="left" vertical="center" wrapText="1"/>
    </xf>
    <xf numFmtId="1" fontId="2" fillId="0" borderId="4"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7" borderId="2" xfId="0" applyFont="1" applyFill="1" applyBorder="1" applyAlignment="1">
      <alignment horizontal="center" vertical="center" wrapText="1"/>
    </xf>
    <xf numFmtId="14" fontId="2" fillId="0" borderId="6" xfId="0" applyNumberFormat="1" applyFont="1" applyBorder="1" applyAlignment="1">
      <alignment horizontal="center" vertical="center" wrapText="1"/>
    </xf>
    <xf numFmtId="0" fontId="2" fillId="7" borderId="6" xfId="0" applyFont="1" applyFill="1" applyBorder="1" applyAlignment="1">
      <alignment horizontal="center" vertical="center" wrapText="1"/>
    </xf>
    <xf numFmtId="0" fontId="2" fillId="0" borderId="0" xfId="0" applyFont="1" applyAlignment="1">
      <alignment horizontal="center" vertical="center" wrapText="1"/>
    </xf>
    <xf numFmtId="3" fontId="2" fillId="0" borderId="6" xfId="0" applyNumberFormat="1" applyFont="1" applyBorder="1" applyAlignment="1">
      <alignment horizontal="left" vertical="center"/>
    </xf>
    <xf numFmtId="3" fontId="2" fillId="0" borderId="6" xfId="0" applyNumberFormat="1" applyFont="1" applyBorder="1" applyAlignment="1">
      <alignment horizontal="left" vertical="center" wrapText="1"/>
    </xf>
    <xf numFmtId="0" fontId="2" fillId="4" borderId="6" xfId="0" applyFont="1" applyFill="1" applyBorder="1" applyAlignment="1">
      <alignment horizontal="left" vertical="center" wrapText="1"/>
    </xf>
    <xf numFmtId="0" fontId="2" fillId="9" borderId="4" xfId="0" applyFont="1" applyFill="1" applyBorder="1" applyAlignment="1">
      <alignment horizontal="center" vertical="center" wrapText="1"/>
    </xf>
    <xf numFmtId="0" fontId="2" fillId="0" borderId="16" xfId="0" applyFont="1" applyBorder="1" applyAlignment="1">
      <alignment horizontal="left" vertical="center" wrapText="1"/>
    </xf>
    <xf numFmtId="0" fontId="2" fillId="10" borderId="4" xfId="0" applyFont="1" applyFill="1" applyBorder="1" applyAlignment="1">
      <alignment horizontal="left" vertical="center" wrapText="1"/>
    </xf>
    <xf numFmtId="17" fontId="2" fillId="5" borderId="0" xfId="0" applyNumberFormat="1" applyFont="1" applyFill="1" applyAlignment="1">
      <alignment horizontal="left" vertical="center" wrapText="1"/>
    </xf>
    <xf numFmtId="14" fontId="2" fillId="8" borderId="4" xfId="0" applyNumberFormat="1" applyFont="1" applyFill="1" applyBorder="1" applyAlignment="1">
      <alignment horizontal="center" vertical="center" wrapText="1"/>
    </xf>
    <xf numFmtId="0" fontId="2" fillId="8" borderId="0" xfId="0" applyFont="1" applyFill="1" applyAlignment="1">
      <alignment horizontal="left" vertical="center" wrapText="1"/>
    </xf>
    <xf numFmtId="0" fontId="2" fillId="8" borderId="6" xfId="0" applyFont="1" applyFill="1" applyBorder="1" applyAlignment="1">
      <alignment horizontal="left" vertical="center" wrapText="1"/>
    </xf>
    <xf numFmtId="17" fontId="2" fillId="8" borderId="6" xfId="0" applyNumberFormat="1" applyFont="1" applyFill="1" applyBorder="1" applyAlignment="1">
      <alignment horizontal="left" vertical="center" wrapText="1"/>
    </xf>
    <xf numFmtId="0" fontId="2" fillId="8" borderId="6" xfId="0" applyFont="1" applyFill="1" applyBorder="1" applyAlignment="1">
      <alignment horizontal="center" vertical="center" wrapText="1"/>
    </xf>
    <xf numFmtId="3" fontId="2" fillId="8" borderId="6" xfId="0" applyNumberFormat="1" applyFont="1" applyFill="1" applyBorder="1" applyAlignment="1">
      <alignment horizontal="left" vertical="center"/>
    </xf>
    <xf numFmtId="3" fontId="2" fillId="8" borderId="6" xfId="0" applyNumberFormat="1" applyFont="1" applyFill="1" applyBorder="1" applyAlignment="1">
      <alignment horizontal="left" vertical="center" wrapText="1"/>
    </xf>
    <xf numFmtId="17" fontId="2" fillId="5" borderId="4" xfId="0" applyNumberFormat="1" applyFont="1" applyFill="1" applyBorder="1" applyAlignment="1">
      <alignment horizontal="left" vertical="center" wrapText="1"/>
    </xf>
    <xf numFmtId="0" fontId="2" fillId="10" borderId="6" xfId="0" applyFont="1" applyFill="1" applyBorder="1" applyAlignment="1">
      <alignment horizontal="left" vertical="center" wrapText="1"/>
    </xf>
    <xf numFmtId="17" fontId="2" fillId="5" borderId="6" xfId="0" applyNumberFormat="1"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17" fontId="2" fillId="8" borderId="4" xfId="0" applyNumberFormat="1" applyFont="1" applyFill="1" applyBorder="1" applyAlignment="1">
      <alignment horizontal="left" vertical="center" wrapText="1"/>
    </xf>
    <xf numFmtId="17" fontId="4" fillId="8" borderId="4" xfId="0" applyNumberFormat="1" applyFont="1" applyFill="1" applyBorder="1" applyAlignment="1">
      <alignment horizontal="center" vertical="center" wrapText="1"/>
    </xf>
    <xf numFmtId="0" fontId="2" fillId="3" borderId="6" xfId="0" applyFont="1" applyFill="1" applyBorder="1" applyAlignment="1">
      <alignment horizontal="left" vertical="center" wrapText="1"/>
    </xf>
    <xf numFmtId="164" fontId="2" fillId="0" borderId="4"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0" fontId="2" fillId="3" borderId="2" xfId="0" applyFont="1" applyFill="1" applyBorder="1" applyAlignment="1">
      <alignment horizontal="left" vertical="center" wrapText="1"/>
    </xf>
    <xf numFmtId="0" fontId="2" fillId="10" borderId="0" xfId="0" applyFont="1" applyFill="1" applyAlignment="1">
      <alignment horizontal="left" vertical="center" wrapText="1"/>
    </xf>
    <xf numFmtId="0" fontId="2" fillId="4" borderId="0" xfId="0" applyFont="1" applyFill="1" applyAlignment="1">
      <alignment horizontal="left" vertical="center" wrapText="1"/>
    </xf>
    <xf numFmtId="0" fontId="2" fillId="5" borderId="0" xfId="0" applyFont="1" applyFill="1" applyAlignment="1">
      <alignment horizontal="left" vertical="center" wrapText="1"/>
    </xf>
    <xf numFmtId="17" fontId="2" fillId="0" borderId="0" xfId="0" applyNumberFormat="1" applyFont="1" applyAlignment="1">
      <alignment horizontal="left" vertical="center" wrapText="1"/>
    </xf>
    <xf numFmtId="14" fontId="2" fillId="0" borderId="0" xfId="0" applyNumberFormat="1" applyFont="1" applyAlignment="1">
      <alignment horizontal="center" vertical="center" wrapText="1"/>
    </xf>
    <xf numFmtId="0" fontId="2" fillId="3" borderId="0" xfId="0" applyFont="1" applyFill="1" applyAlignment="1">
      <alignment horizontal="left" vertical="center" wrapText="1"/>
    </xf>
    <xf numFmtId="14"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14" fontId="2" fillId="0" borderId="5" xfId="0" applyNumberFormat="1" applyFont="1" applyBorder="1" applyAlignment="1">
      <alignment horizontal="center" vertical="center" wrapText="1"/>
    </xf>
    <xf numFmtId="0" fontId="2" fillId="8"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ISHRA SHAILENDRA" id="{74D71C79-C8AE-4D0C-AC19-EDFFA1195FA8}" userId="S::215165@mahindra.com::097070be-0956-4c37-9091-5523fad8c412" providerId="AD"/>
</personList>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43aaf683d513aa9ed27ac92098a8cf26&amp;qlt=95" TargetMode="External"/><Relationship Id="rId18" Type="http://schemas.openxmlformats.org/officeDocument/2006/relationships/hyperlink" Target="https://www.bing.com/images/search?form=xlimg&amp;q=Nira%20Narsingpur" TargetMode="External"/><Relationship Id="rId26" Type="http://schemas.openxmlformats.org/officeDocument/2006/relationships/hyperlink" Target="https://www.bing.com/images/search?form=xlimg&amp;q=Jalandhar" TargetMode="External"/><Relationship Id="rId3" Type="http://schemas.openxmlformats.org/officeDocument/2006/relationships/hyperlink" Target="https://www.bing.com/th?id=OSK.fa55cbe5f21382b36b2256fb339e5adb&amp;qlt=95" TargetMode="External"/><Relationship Id="rId21" Type="http://schemas.openxmlformats.org/officeDocument/2006/relationships/hyperlink" Target="https://www.bing.com/th?id=OSK.b8293305f1be9607c903e29cdd63aabc&amp;qlt=95" TargetMode="External"/><Relationship Id="rId34" Type="http://schemas.openxmlformats.org/officeDocument/2006/relationships/hyperlink" Target="https://www.bing.com/images/search?form=xlimg&amp;q=Surat" TargetMode="External"/><Relationship Id="rId7" Type="http://schemas.openxmlformats.org/officeDocument/2006/relationships/hyperlink" Target="https://www.bing.com/th?id=OSK.b14e92073be71cac78b9b93f7c710be0&amp;qlt=95" TargetMode="External"/><Relationship Id="rId12" Type="http://schemas.openxmlformats.org/officeDocument/2006/relationships/hyperlink" Target="https://www.bing.com/images/search?form=xlimg&amp;q=Ghaziabad" TargetMode="External"/><Relationship Id="rId17" Type="http://schemas.openxmlformats.org/officeDocument/2006/relationships/hyperlink" Target="https://www.bing.com/th?id=OSK.ffd93e11f4b062ed16f47b5afdf511c5&amp;qlt=95" TargetMode="External"/><Relationship Id="rId25" Type="http://schemas.openxmlformats.org/officeDocument/2006/relationships/hyperlink" Target="https://www.bing.com/th?id=OSK.7e6e89d602d6e57b9c68040647f6a799&amp;qlt=95" TargetMode="External"/><Relationship Id="rId33" Type="http://schemas.openxmlformats.org/officeDocument/2006/relationships/hyperlink" Target="https://www.bing.com/th?id=OSK.fe6a11be88343cef7c5436eed078a11d&amp;qlt=95" TargetMode="External"/><Relationship Id="rId2" Type="http://schemas.openxmlformats.org/officeDocument/2006/relationships/hyperlink" Target="https://www.bing.com/images/search?form=xlimg&amp;q=Delhi" TargetMode="External"/><Relationship Id="rId16" Type="http://schemas.openxmlformats.org/officeDocument/2006/relationships/hyperlink" Target="https://www.bing.com/images/search?form=xlimg&amp;q=Faridabad" TargetMode="External"/><Relationship Id="rId20" Type="http://schemas.openxmlformats.org/officeDocument/2006/relationships/hyperlink" Target="https://www.bing.com/images/search?form=xlimg&amp;q=Jaipur" TargetMode="External"/><Relationship Id="rId29" Type="http://schemas.openxmlformats.org/officeDocument/2006/relationships/hyperlink" Target="https://www.bing.com/th?id=OSK.VDGrxWojLudA6zxcLc1IvwJiDJBqE-U_T2B41_YRbBI&amp;qlt=95" TargetMode="External"/><Relationship Id="rId1" Type="http://schemas.openxmlformats.org/officeDocument/2006/relationships/hyperlink" Target="https://www.bing.com/th?id=OSK.5c95f0d79e07f6c7e3c33a894ab5a87b&amp;qlt=95" TargetMode="External"/><Relationship Id="rId6" Type="http://schemas.openxmlformats.org/officeDocument/2006/relationships/hyperlink" Target="https://www.bing.com/images/search?form=xlimg&amp;q=Rohtak" TargetMode="External"/><Relationship Id="rId11" Type="http://schemas.openxmlformats.org/officeDocument/2006/relationships/hyperlink" Target="https://www.bing.com/th?id=OSK.f31679b5c1649024818754e41371171f&amp;qlt=95" TargetMode="External"/><Relationship Id="rId24" Type="http://schemas.openxmlformats.org/officeDocument/2006/relationships/hyperlink" Target="https://www.bing.com/images/search?form=xlimg&amp;q=Rajahmundry" TargetMode="External"/><Relationship Id="rId32" Type="http://schemas.openxmlformats.org/officeDocument/2006/relationships/hyperlink" Target="https://www.bing.com/images/search?form=xlimg&amp;q=Mumbai" TargetMode="External"/><Relationship Id="rId5" Type="http://schemas.openxmlformats.org/officeDocument/2006/relationships/hyperlink" Target="https://www.bing.com/th?id=OSK.ade9ba4962a907a5d3ffd2f183b08398&amp;qlt=95" TargetMode="External"/><Relationship Id="rId15" Type="http://schemas.openxmlformats.org/officeDocument/2006/relationships/hyperlink" Target="https://www.bing.com/th?id=OSK.5c4808b5a6bc3e4d3812a92cecb304e5&amp;qlt=95" TargetMode="External"/><Relationship Id="rId23" Type="http://schemas.openxmlformats.org/officeDocument/2006/relationships/hyperlink" Target="https://www.bing.com/th?id=OSK.cedcd1a3663137ef4a2d2a321fb77e62&amp;qlt=95" TargetMode="External"/><Relationship Id="rId28" Type="http://schemas.openxmlformats.org/officeDocument/2006/relationships/hyperlink" Target="https://www.bing.com/images/search?form=xlimg&amp;q=Howrah" TargetMode="External"/><Relationship Id="rId36" Type="http://schemas.openxmlformats.org/officeDocument/2006/relationships/hyperlink" Target="https://www.bing.com/images/search?form=xlimg&amp;q=Lucknow" TargetMode="External"/><Relationship Id="rId10" Type="http://schemas.openxmlformats.org/officeDocument/2006/relationships/hyperlink" Target="https://www.bing.com/images/search?form=xlimg&amp;q=Panchkula" TargetMode="External"/><Relationship Id="rId19" Type="http://schemas.openxmlformats.org/officeDocument/2006/relationships/hyperlink" Target="https://www.bing.com/th?id=OSK.4ff411041486da31907b6377cb2a54fd&amp;qlt=95" TargetMode="External"/><Relationship Id="rId31" Type="http://schemas.openxmlformats.org/officeDocument/2006/relationships/hyperlink" Target="https://www.bing.com/th?id=OSK.77266c06aab97a03f3fa7adfb9088a9a&amp;qlt=95" TargetMode="External"/><Relationship Id="rId4" Type="http://schemas.openxmlformats.org/officeDocument/2006/relationships/hyperlink" Target="https://www.bing.com/images/search?form=xlimg&amp;q=Gurgaon" TargetMode="External"/><Relationship Id="rId9" Type="http://schemas.openxmlformats.org/officeDocument/2006/relationships/hyperlink" Target="https://www.bing.com/th?id=OSK.93b1e822feb619209bd8dc3292296915&amp;qlt=95" TargetMode="External"/><Relationship Id="rId14" Type="http://schemas.openxmlformats.org/officeDocument/2006/relationships/hyperlink" Target="https://www.bing.com/images/search?form=xlimg&amp;q=Kolkata" TargetMode="External"/><Relationship Id="rId22" Type="http://schemas.openxmlformats.org/officeDocument/2006/relationships/hyperlink" Target="https://www.bing.com/images/search?form=xlimg&amp;q=Aurangabad" TargetMode="External"/><Relationship Id="rId27" Type="http://schemas.openxmlformats.org/officeDocument/2006/relationships/hyperlink" Target="https://www.bing.com/th?id=OSK.909996aadb68122de62a18eb193e5ed7&amp;qlt=95" TargetMode="External"/><Relationship Id="rId30" Type="http://schemas.openxmlformats.org/officeDocument/2006/relationships/hyperlink" Target="https://www.bing.com/images/search?form=xlimg&amp;q=Vadodara" TargetMode="External"/><Relationship Id="rId35" Type="http://schemas.openxmlformats.org/officeDocument/2006/relationships/hyperlink" Target="https://www.bing.com/th?id=OSK.7ab5bf456c73c923fac34cbd44df181f&amp;qlt=95" TargetMode="External"/><Relationship Id="rId8" Type="http://schemas.openxmlformats.org/officeDocument/2006/relationships/hyperlink" Target="https://www.bing.com/images/search?form=xlimg&amp;q=Ahmedaba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Srd>
</file>

<file path=xl/richData/rdarray.xml><?xml version="1.0" encoding="utf-8"?>
<arrayData xmlns="http://schemas.microsoft.com/office/spreadsheetml/2017/richdata2" count="15">
  <a r="2">
    <v t="r">5</v>
    <v t="r">6</v>
  </a>
  <a r="1">
    <v t="s">UTC+05:30</v>
  </a>
  <a r="1">
    <v t="r">18</v>
  </a>
  <a r="1">
    <v t="r">29</v>
  </a>
  <a r="2">
    <v t="r">40</v>
    <v t="r">41</v>
  </a>
  <a r="1">
    <v t="r">53</v>
  </a>
  <a r="1">
    <v t="r">65</v>
  </a>
  <a r="2">
    <v t="r">75</v>
    <v t="r">76</v>
  </a>
  <a r="1">
    <v t="r">87</v>
  </a>
  <a r="2">
    <v t="r">105</v>
    <v t="r">106</v>
  </a>
  <a r="1">
    <v t="r">136</v>
  </a>
  <a r="1">
    <v t="r">157</v>
  </a>
  <a r="1">
    <v t="s">Indian Standard Time</v>
  </a>
  <a r="1">
    <v t="r">176</v>
  </a>
  <a r="1">
    <v t="r">187</v>
  </a>
</arrayData>
</file>

<file path=xl/richData/rdrichvalue.xml><?xml version="1.0" encoding="utf-8"?>
<rvData xmlns="http://schemas.microsoft.com/office/spreadsheetml/2017/richdata" count="193">
  <rv s="0">
    <v>536870912</v>
    <v>Delhi</v>
    <v>275e8ab8-7bd0-4633-9c89-0133be92e587</v>
    <v>en-IN</v>
    <v>Map</v>
  </rv>
  <rv s="1">
    <fb>1484</fb>
    <v>10</v>
  </rv>
  <rv s="0">
    <v>536870912</v>
    <v>New Delhi</v>
    <v>b474d3c7-a39a-d5ba-7426-18e00042f03e</v>
    <v>en-IN</v>
    <v>Map</v>
  </rv>
  <rv s="0">
    <v>536870912</v>
    <v>Sur Empire</v>
    <v>14116fa5-c108-6564-e585-c8cd1d016837</v>
    <v>en-IN</v>
    <v>Map</v>
  </rv>
  <rv s="2">
    <v>0</v>
    <v>8</v>
    <v>0</v>
    <v>7</v>
    <v>0</v>
    <v>Image of Delhi</v>
  </rv>
  <rv s="0">
    <v>805306368</v>
    <v>Vinai Kumar Saxena (Lieutenant governor)</v>
    <v>63e4d87a-b12e-3d7a-686e-620814853d36</v>
    <v>en-IN</v>
    <v>Generic</v>
  </rv>
  <rv s="0">
    <v>805306368</v>
    <v>Arvind Kejriwal (Chief minister)</v>
    <v>406f9300-0c0c-3948-9d26-5c194e968300</v>
    <v>en-IN</v>
    <v>Generic</v>
  </rv>
  <rv s="3">
    <v>0</v>
  </rv>
  <rv s="4">
    <v>https://www.bing.com/search?q=delhi&amp;form=skydnc</v>
    <v>Learn more on Bing</v>
  </rv>
  <rv s="1">
    <fb>9879172</fb>
    <v>10</v>
  </rv>
  <rv s="3">
    <v>1</v>
  </rv>
  <rv s="5">
    <v>#VALUE!</v>
    <v>en-IN</v>
    <v>275e8ab8-7bd0-4633-9c89-0133be92e587</v>
    <v>536870912</v>
    <v>1</v>
    <v>3</v>
    <v>4</v>
    <v>Delhi</v>
    <v>6</v>
    <v>7</v>
    <v>Map</v>
    <v>8</v>
    <v>9</v>
    <v>IN-DL</v>
    <v>1</v>
    <v>2</v>
    <v>3</v>
    <v>Delhi, officially the National Capital Territory of Delhi, is a city and a union territory of India containing New Delhi, the capital of India. Straddling the Yamuna river, but spread chiefly to the west, or beyond its right bank, Delhi shares ...</v>
    <v>4</v>
    <v>2</v>
    <v>7</v>
    <v>8</v>
    <v>Delhi</v>
    <v>9</v>
    <v>10</v>
    <v>Delhi</v>
    <v>mdp/vdpid/10122740</v>
  </rv>
  <rv s="0">
    <v>536870912</v>
    <v>Gurgaon</v>
    <v>0744da87-5b33-132f-8cc6-6bd94376edf9</v>
    <v>en-IN</v>
    <v>Map</v>
  </rv>
  <rv s="0">
    <v>536870912</v>
    <v>Gurgaon district</v>
    <v>9db9768b-6cde-c819-faf1-4911ab303142</v>
    <v>en-IN</v>
    <v>Map</v>
  </rv>
  <rv s="1">
    <fb>738.8</fb>
    <v>10</v>
  </rv>
  <rv s="0">
    <v>536870912</v>
    <v>India</v>
    <v>85fa63d3-9596-adb9-b4eb-502273d84f56</v>
    <v>en-IN</v>
    <v>Map</v>
  </rv>
  <rv s="2">
    <v>1</v>
    <v>8</v>
    <v>12</v>
    <v>7</v>
    <v>0</v>
    <v>Image of Gurgaon</v>
  </rv>
  <rv s="1">
    <fb>28.466666666666999</fb>
    <v>16</v>
  </rv>
  <rv s="0">
    <v>805306368</v>
    <v>Madhu Azad (Mayor)</v>
    <v>5f494c54-8cc0-4d17-4f05-5ca9ebbb4556</v>
    <v>en-IN</v>
    <v>Generic</v>
  </rv>
  <rv s="3">
    <v>2</v>
  </rv>
  <rv s="4">
    <v>https://www.bing.com/search?q=gurgaon&amp;form=skydnc</v>
    <v>Learn more on Bing</v>
  </rv>
  <rv s="1">
    <fb>77.033333333333005</fb>
    <v>16</v>
  </rv>
  <rv s="1">
    <fb>876824</fb>
    <v>10</v>
  </rv>
  <rv s="6">
    <v>#VALUE!</v>
    <v>en-IN</v>
    <v>0744da87-5b33-132f-8cc6-6bd94376edf9</v>
    <v>536870912</v>
    <v>1</v>
    <v>13</v>
    <v>14</v>
    <v>Gurgaon</v>
    <v>6</v>
    <v>7</v>
    <v>Map</v>
    <v>8</v>
    <v>15</v>
    <v>13</v>
    <v>14</v>
    <v>15</v>
    <v>Gurgaon, officially named Gurugram, is a tier-2 satellite city of Delhi and administrative headquarters of Gurgaon district, located in the northern Indian state of Haryana. It is situated near the Delhi–Haryana border, about 30 kilometres ...</v>
    <v>16</v>
    <v>17</v>
    <v>19</v>
    <v>20</v>
    <v>21</v>
    <v>Gurgaon</v>
    <v>22</v>
    <v>10</v>
    <v>Gurgaon</v>
    <v>mdp/vdpid/7408259858589286401</v>
  </rv>
  <rv s="0">
    <v>536870912</v>
    <v>Rohtak</v>
    <v>b343c7e9-b4e3-b38a-0097-1e564978ad08</v>
    <v>en-IN</v>
    <v>Map</v>
  </rv>
  <rv s="0">
    <v>536870912</v>
    <v>Punjab</v>
    <v>d98d08e1-818e-a7ba-30a5-4637a11eec3e</v>
    <v>en-IN</v>
    <v>Map</v>
  </rv>
  <rv s="1">
    <fb>115</fb>
    <v>10</v>
  </rv>
  <rv s="2">
    <v>2</v>
    <v>8</v>
    <v>17</v>
    <v>7</v>
    <v>0</v>
    <v>Image of Rohtak</v>
  </rv>
  <rv s="1">
    <fb>28.9</fb>
    <v>16</v>
  </rv>
  <rv s="0">
    <v>805306368</v>
    <v>Manmohan Goyal (Mayor)</v>
    <v>5773701c-db46-7ee5-07c8-44b19f0aa60f</v>
    <v>en-IN</v>
    <v>Generic</v>
  </rv>
  <rv s="3">
    <v>3</v>
  </rv>
  <rv s="4">
    <v>https://www.bing.com/search?q=rohtak&amp;form=skydnc</v>
    <v>Learn more on Bing</v>
  </rv>
  <rv s="1">
    <fb>76.566666666667004</fb>
    <v>16</v>
  </rv>
  <rv s="1">
    <fb>373133</fb>
    <v>10</v>
  </rv>
  <rv s="7">
    <v>#VALUE!</v>
    <v>en-IN</v>
    <v>b343c7e9-b4e3-b38a-0097-1e564978ad08</v>
    <v>536870912</v>
    <v>1</v>
    <v>18</v>
    <v>19</v>
    <v>Rohtak</v>
    <v>6</v>
    <v>7</v>
    <v>Map</v>
    <v>8</v>
    <v>15</v>
    <v>25</v>
    <v>26</v>
    <v>15</v>
    <v>Rohtak is a city and the administrative headquarters of the Rohtak district in the Indian state of Haryana. It lies 70 kilometres north-west of New Delhi and 250 kilometres south of the state capital Chandigarh on NH 9. Rohtak forms a part of ...</v>
    <v>27</v>
    <v>28</v>
    <v>30</v>
    <v>31</v>
    <v>32</v>
    <v>Rohtak</v>
    <v>33</v>
    <v>10</v>
    <v>Rohtak</v>
    <v>mdp/vdpid/7408173853848895489</v>
  </rv>
  <rv s="0">
    <v>536870912</v>
    <v>Ahmedabad</v>
    <v>f741e2c0-a401-4bcb-2d92-c364fe683513</v>
    <v>en-IN</v>
    <v>Map</v>
  </rv>
  <rv s="0">
    <v>536870912</v>
    <v>Gujarat</v>
    <v>c70b768e-21ab-4f53-a356-564e8da2291e</v>
    <v>en-IN</v>
    <v>Map</v>
  </rv>
  <rv s="1">
    <fb>464.16500000000002</fb>
    <v>10</v>
  </rv>
  <rv s="2">
    <v>3</v>
    <v>8</v>
    <v>20</v>
    <v>7</v>
    <v>0</v>
    <v>Image of Ahmedabad</v>
  </rv>
  <rv s="1">
    <fb>23.021944444444401</fb>
    <v>16</v>
  </rv>
  <rv s="0">
    <v>805306368</v>
    <v>Pratibha Jain (Mayor)</v>
    <v>7cb51764-38d6-a29e-a43d-0df082af754a</v>
    <v>en-IN</v>
    <v>Generic</v>
  </rv>
  <rv s="0">
    <v>805306368</v>
    <v>Jatin Patel (Deputy mayor)</v>
    <v>e59b1bcc-851a-4bdb-e331-88b779cd49dd</v>
    <v>en-IN</v>
    <v>Generic</v>
  </rv>
  <rv s="3">
    <v>4</v>
  </rv>
  <rv s="4">
    <v>https://www.bing.com/search?q=ahmedabad&amp;form=skydnc</v>
    <v>Learn more on Bing</v>
  </rv>
  <rv s="1">
    <fb>72.579722222222202</fb>
    <v>16</v>
  </rv>
  <rv s="1">
    <fb>8854440</fb>
    <v>10</v>
  </rv>
  <rv s="7">
    <v>#VALUE!</v>
    <v>en-IN</v>
    <v>f741e2c0-a401-4bcb-2d92-c364fe683513</v>
    <v>536870912</v>
    <v>1</v>
    <v>21</v>
    <v>19</v>
    <v>Ahmedabad</v>
    <v>6</v>
    <v>7</v>
    <v>Map</v>
    <v>8</v>
    <v>22</v>
    <v>36</v>
    <v>37</v>
    <v>15</v>
    <v>Ahmedabad, also spelled as Amdavad, is the most populous city in the Indian state of Gujarat. It is the administrative headquarters of the Ahmedabad district and the seat of the Gujarat High Court. Ahmedabad's population of 5,570,585 makes it ...</v>
    <v>38</v>
    <v>39</v>
    <v>42</v>
    <v>43</v>
    <v>44</v>
    <v>Ahmedabad</v>
    <v>45</v>
    <v>10</v>
    <v>Ahmedabad</v>
    <v>mdp/vdpid/7410643148977733636</v>
  </rv>
  <rv s="0">
    <v>536870912</v>
    <v>Panchkula</v>
    <v>e79e3eab-6139-837c-4c80-d88c812db3ba</v>
    <v>en-IN</v>
    <v>Map</v>
  </rv>
  <rv s="0">
    <v>536870912</v>
    <v>Haryana</v>
    <v>f50b36c9-0e06-9b0a-b657-100ebb295bb1</v>
    <v>en-IN</v>
    <v>Map</v>
  </rv>
  <rv s="0">
    <v>536870912</v>
    <v>Panchkula district</v>
    <v>b064410d-5822-3bbd-600f-ba8ba842c0ad</v>
    <v>en-IN</v>
    <v>Map</v>
  </rv>
  <rv s="1">
    <fb>898</fb>
    <v>10</v>
  </rv>
  <rv s="2">
    <v>4</v>
    <v>8</v>
    <v>23</v>
    <v>7</v>
    <v>0</v>
    <v>Image of Panchkula</v>
  </rv>
  <rv s="1">
    <fb>30.694444444443999</fb>
    <v>16</v>
  </rv>
  <rv s="0">
    <v>805306368</v>
    <v>Kulbhushan Goyal (Mayor)</v>
    <v>9efd04b8-f342-d1ca-f51e-046328ab58fc</v>
    <v>en-IN</v>
    <v>Generic</v>
  </rv>
  <rv s="3">
    <v>5</v>
  </rv>
  <rv s="4">
    <v>https://www.bing.com/search?q=panchkula&amp;form=skydnc</v>
    <v>Learn more on Bing</v>
  </rv>
  <rv s="1">
    <fb>76.850277777778004</fb>
    <v>16</v>
  </rv>
  <rv s="1">
    <fb>211355</fb>
    <v>10</v>
  </rv>
  <rv s="8">
    <v>#VALUE!</v>
    <v>en-IN</v>
    <v>e79e3eab-6139-837c-4c80-d88c812db3ba</v>
    <v>536870912</v>
    <v>1</v>
    <v>25</v>
    <v>26</v>
    <v>Panchkula</v>
    <v>6</v>
    <v>7</v>
    <v>Map</v>
    <v>8</v>
    <v>15</v>
    <v>48</v>
    <v>49</v>
    <v>50</v>
    <v>15</v>
    <v>Panchkula is a planned city and district headquarter in the Panchkula district in Haryana, India. It is a satellite town of the state capital Chandigarh. Panchkula is a border city with Punjab, Chandigarh and Himachal Pradesh. The origin of the ...</v>
    <v>51</v>
    <v>52</v>
    <v>54</v>
    <v>55</v>
    <v>56</v>
    <v>Panchkula</v>
    <v>57</v>
    <v>Panchkula</v>
    <v>mdp/vdpid/7407900651029528577</v>
  </rv>
  <rv s="0">
    <v>536870912</v>
    <v>Ghaziabad</v>
    <v>e900c390-f771-dfdc-694c-8512f5758707</v>
    <v>en-IN</v>
    <v>Map</v>
  </rv>
  <rv s="0">
    <v>536870912</v>
    <v>Ghaziabad district</v>
    <v>239c012f-3c24-3a25-adab-8cf75e6db8e3</v>
    <v>en-IN</v>
    <v>Map</v>
  </rv>
  <rv s="1">
    <fb>220</fb>
    <v>10</v>
  </rv>
  <rv s="0">
    <v>536870912</v>
    <v>British Raj</v>
    <v>20193abe-79a7-473f-979c-a3cfdac8639a</v>
    <v>en-IN</v>
    <v>Map</v>
  </rv>
  <rv s="2">
    <v>5</v>
    <v>8</v>
    <v>27</v>
    <v>7</v>
    <v>0</v>
    <v>Image of Ghaziabad</v>
  </rv>
  <rv s="1">
    <fb>28.666666666666998</fb>
    <v>16</v>
  </rv>
  <rv s="0">
    <v>805306368</v>
    <v>Sunita Dayal (Mayor)</v>
    <v>67271c23-3efc-d0fb-4abd-c26818c07a9b</v>
    <v>en-IN</v>
    <v>Generic</v>
  </rv>
  <rv s="3">
    <v>6</v>
  </rv>
  <rv s="4">
    <v>https://www.bing.com/search?q=ghaziabad+uttar+pradesh&amp;form=skydnc</v>
    <v>Learn more on Bing</v>
  </rv>
  <rv s="1">
    <fb>77.416666666666998</fb>
    <v>16</v>
  </rv>
  <rv s="1">
    <fb>2375820</fb>
    <v>10</v>
  </rv>
  <rv s="9">
    <v>#VALUE!</v>
    <v>en-IN</v>
    <v>e900c390-f771-dfdc-694c-8512f5758707</v>
    <v>536870912</v>
    <v>1</v>
    <v>28</v>
    <v>29</v>
    <v>Ghaziabad</v>
    <v>6</v>
    <v>7</v>
    <v>Map</v>
    <v>8</v>
    <v>15</v>
    <v>60</v>
    <v>61</v>
    <v>62</v>
    <v>Ghaziabad is a city in the Indian state of Uttar Pradesh and a part of Delhi NCR. It is the administrative headquarters of Ghaziabad district and is the largest city in Western Uttar Pradesh, with a population of 1,729,000. Ghaziabad Municipal ...</v>
    <v>63</v>
    <v>64</v>
    <v>66</v>
    <v>67</v>
    <v>68</v>
    <v>Ghaziabad</v>
    <v>69</v>
    <v>Ghaziabad</v>
    <v>mdp/vdpid/7408352758950002690</v>
  </rv>
  <rv s="0">
    <v>536870912</v>
    <v>Kolkata</v>
    <v>e5f8e89d-f3e0-3a9e-7b62-24348d526819</v>
    <v>en-IN</v>
    <v>Map</v>
  </rv>
  <rv s="1">
    <fb>206.08</fb>
    <v>10</v>
  </rv>
  <rv s="2">
    <v>6</v>
    <v>8</v>
    <v>30</v>
    <v>7</v>
    <v>0</v>
    <v>Image of Kolkata</v>
  </rv>
  <rv s="1">
    <fb>22.572672300000001</fb>
    <v>16</v>
  </rv>
  <rv s="0">
    <v>805306368</v>
    <v>Firhad Hakim (Mayor)</v>
    <v>899268aa-2ac9-4a09-bb3c-8fa5b3ea6848</v>
    <v>en-IN</v>
    <v>Generic</v>
  </rv>
  <rv s="0">
    <v>805306368</v>
    <v>Atin Ghosh (Deputy mayor)</v>
    <v>adf686c6-c7c3-d05a-cbf1-7ef2a186f59b</v>
    <v>en-IN</v>
    <v>Generic</v>
  </rv>
  <rv s="3">
    <v>7</v>
  </rv>
  <rv s="4">
    <v>https://www.bing.com/search?q=kolkata&amp;form=skydnc</v>
    <v>Learn more on Bing</v>
  </rv>
  <rv s="1">
    <fb>88.363881500000005</fb>
    <v>16</v>
  </rv>
  <rv s="1">
    <fb>4496694</fb>
    <v>10</v>
  </rv>
  <rv s="10">
    <v>#VALUE!</v>
    <v>en-IN</v>
    <v>e5f8e89d-f3e0-3a9e-7b62-24348d526819</v>
    <v>536870912</v>
    <v>1</v>
    <v>31</v>
    <v>32</v>
    <v>Kolkata</v>
    <v>6</v>
    <v>7</v>
    <v>Map</v>
    <v>8</v>
    <v>15</v>
    <v>72</v>
    <v>15</v>
    <v>Kolkata is the capital and largest city of the Indian state of West Bengal. It lies on the eastern bank of the Hooghly River, 80 km west of the border with Bangladesh. It is the primary financial and commercial center of eastern and northeastern ...</v>
    <v>73</v>
    <v>74</v>
    <v>77</v>
    <v>78</v>
    <v>79</v>
    <v>Kolkata</v>
    <v>80</v>
    <v>Kolkata</v>
    <v>mdp/vdpid/7421784768603226114</v>
  </rv>
  <rv s="0">
    <v>536870912</v>
    <v>Faridabad</v>
    <v>1a737077-4f72-bfac-324f-43f365e64b96</v>
    <v>en-IN</v>
    <v>Map</v>
  </rv>
  <rv s="0">
    <v>536870912</v>
    <v>Faridabad district</v>
    <v>f3b0bb4f-48d5-ce2b-c5d9-a88e776451a4</v>
    <v>en-IN</v>
    <v>Map</v>
  </rv>
  <rv s="1">
    <fb>742.9</fb>
    <v>10</v>
  </rv>
  <rv s="2">
    <v>7</v>
    <v>8</v>
    <v>33</v>
    <v>7</v>
    <v>0</v>
    <v>Image of Faridabad</v>
  </rv>
  <rv s="1">
    <fb>28.416666666666998</fb>
    <v>16</v>
  </rv>
  <rv s="0">
    <v>805306368</v>
    <v>Suman Bala (Mayor)</v>
    <v>ed49d6d5-ef82-1117-56c9-b20849507c06</v>
    <v>en-IN</v>
    <v>Generic</v>
  </rv>
  <rv s="3">
    <v>8</v>
  </rv>
  <rv s="4">
    <v>https://www.bing.com/search?q=faridabad&amp;form=skydnc</v>
    <v>Learn more on Bing</v>
  </rv>
  <rv s="1">
    <fb>77.3</fb>
    <v>16</v>
  </rv>
  <rv s="1">
    <fb>1414050</fb>
    <v>10</v>
  </rv>
  <rv s="6">
    <v>#VALUE!</v>
    <v>en-IN</v>
    <v>1a737077-4f72-bfac-324f-43f365e64b96</v>
    <v>536870912</v>
    <v>1</v>
    <v>34</v>
    <v>14</v>
    <v>Faridabad</v>
    <v>6</v>
    <v>7</v>
    <v>Map</v>
    <v>8</v>
    <v>15</v>
    <v>83</v>
    <v>84</v>
    <v>15</v>
    <v>Faridabad is the most populous city near NCT of Delhi in the Indian state of Haryana and a part of Delhi National Capital Region. It is one of the major satellite cities around Delhi and is located 284 kilometres south of the state capital, ...</v>
    <v>85</v>
    <v>86</v>
    <v>88</v>
    <v>89</v>
    <v>90</v>
    <v>Faridabad</v>
    <v>91</v>
    <v>10</v>
    <v>Faridabad</v>
    <v>mdp/vdpid/7408368973072302081</v>
  </rv>
  <rv s="0">
    <v>536870912</v>
    <v>Nira Narsingpur</v>
    <v>2ae35de0-c350-44da-87da-707fb41597ae</v>
    <v>en-IN</v>
    <v>Map</v>
  </rv>
  <rv s="0">
    <v>536870912</v>
    <v>Pune district</v>
    <v>2e0769ee-608b-33fd-6c72-91c492a7ca7d</v>
    <v>en-IN</v>
    <v>Map</v>
  </rv>
  <rv s="2">
    <v>8</v>
    <v>8</v>
    <v>35</v>
    <v>7</v>
    <v>0</v>
    <v>Image of Nira Narsingpur</v>
  </rv>
  <rv s="1">
    <fb>17.983499999999999</fb>
    <v>16</v>
  </rv>
  <rv s="4">
    <v>https://www.bing.com/search?q=nira+narsingpur+india&amp;form=skydnc</v>
    <v>Learn more on Bing</v>
  </rv>
  <rv s="1">
    <fb>75.123959999999997</fb>
    <v>16</v>
  </rv>
  <rv s="11">
    <v>#VALUE!</v>
    <v>en-IN</v>
    <v>2ae35de0-c350-44da-87da-707fb41597ae</v>
    <v>536870912</v>
    <v>1</v>
    <v>36</v>
    <v>37</v>
    <v>Nira Narsingpur</v>
    <v>6</v>
    <v>7</v>
    <v>Map</v>
    <v>8</v>
    <v>94</v>
    <v>15</v>
    <v>Nira Narsingpur is a village in Indapur taluka of Pune district, Maharashtra, India. The confluence of rivers Bhima and Nira is behind the Shri Laxmi Narsimha Temple. The temple is situated on Pune side of the Pune-Solapur district border also ...</v>
    <v>95</v>
    <v>96</v>
    <v>97</v>
    <v>98</v>
    <v>Nira Narsingpur</v>
    <v>10</v>
    <v>Nira Narsingpur</v>
    <v>mdp/vdpid/7461777621794160641</v>
  </rv>
  <rv s="0">
    <v>536870912</v>
    <v>Jaipur</v>
    <v>b59bcf7b-bf6a-02ef-d975-bd51247f3fb6</v>
    <v>en-IN</v>
    <v>Map</v>
  </rv>
  <rv s="0">
    <v>536870912</v>
    <v>Jaipur district</v>
    <v>85e663e9-a968-b342-c4e6-fad068a95567</v>
    <v>en-IN</v>
    <v>Map</v>
  </rv>
  <rv s="1">
    <fb>467</fb>
    <v>10</v>
  </rv>
  <rv s="2">
    <v>9</v>
    <v>8</v>
    <v>38</v>
    <v>7</v>
    <v>0</v>
    <v>Image of Jaipur</v>
  </rv>
  <rv s="1">
    <fb>26.916666666666998</fb>
    <v>16</v>
  </rv>
  <rv s="0">
    <v>805306368</v>
    <v>Somya Gurjar (Mayor)</v>
    <v>f97d7c51-57b2-104c-0a5a-c511e272065a</v>
    <v>en-IN</v>
    <v>Generic</v>
  </rv>
  <rv s="0">
    <v>805306368</v>
    <v>Munesh Gurjar (Mayor)</v>
    <v>c39e8dbd-77bf-0ce8-887e-7056e93ec0e2</v>
    <v>en-IN</v>
    <v>Generic</v>
  </rv>
  <rv s="3">
    <v>9</v>
  </rv>
  <rv s="4">
    <v>https://www.bing.com/search?q=jaipur&amp;form=skydnc</v>
    <v>Learn more on Bing</v>
  </rv>
  <rv s="1">
    <fb>75.866666666667001</fb>
    <v>16</v>
  </rv>
  <rv s="1">
    <fb>3073350</fb>
    <v>10</v>
  </rv>
  <rv s="9">
    <v>#VALUE!</v>
    <v>en-IN</v>
    <v>b59bcf7b-bf6a-02ef-d975-bd51247f3fb6</v>
    <v>536870912</v>
    <v>1</v>
    <v>39</v>
    <v>29</v>
    <v>Jaipur</v>
    <v>6</v>
    <v>7</v>
    <v>Map</v>
    <v>8</v>
    <v>15</v>
    <v>101</v>
    <v>102</v>
    <v>15</v>
    <v>Jaipur, formerly known as Jeypore, is the capital and the largest city of the Indian state of Rajasthan. As of 2011, the city has a population of 3.1 million, making it the tenth most populous city in the country. Located 268 km from the ...</v>
    <v>103</v>
    <v>104</v>
    <v>107</v>
    <v>108</v>
    <v>109</v>
    <v>Jaipur</v>
    <v>110</v>
    <v>Jaipur</v>
    <v>mdp/vdpid/7410948392387346433</v>
  </rv>
  <rv s="0">
    <v>536870912</v>
    <v>Aurangabad</v>
    <v>051f17db-56f8-3a87-3ca0-9fbcc7ca9c09</v>
    <v>en-IN</v>
    <v>Map</v>
  </rv>
  <rv s="0">
    <v>536870912</v>
    <v>Aurangabad district</v>
    <v>3e635b34-55e2-ea80-7ce5-31e8e794ec46</v>
    <v>en-IN</v>
    <v>Map</v>
  </rv>
  <rv s="1">
    <fb>123</fb>
    <v>10</v>
  </rv>
  <rv s="2">
    <v>10</v>
    <v>8</v>
    <v>40</v>
    <v>7</v>
    <v>0</v>
    <v>Image of Aurangabad</v>
  </rv>
  <rv s="1">
    <fb>19.88</fb>
    <v>16</v>
  </rv>
  <rv s="4">
    <v>https://www.bing.com/search?q=aurangabad+maharashtra&amp;form=skydnc</v>
    <v>Learn more on Bing</v>
  </rv>
  <rv s="1">
    <fb>75.319999999999993</fb>
    <v>16</v>
  </rv>
  <rv s="1">
    <fb>1175116</fb>
    <v>10</v>
  </rv>
  <rv s="12">
    <v>#VALUE!</v>
    <v>en-IN</v>
    <v>051f17db-56f8-3a87-3ca0-9fbcc7ca9c09</v>
    <v>536870912</v>
    <v>1</v>
    <v>41</v>
    <v>42</v>
    <v>Aurangabad</v>
    <v>6</v>
    <v>7</v>
    <v>Map</v>
    <v>8</v>
    <v>15</v>
    <v>113</v>
    <v>114</v>
    <v>15</v>
    <v>Aurangabad, officially known as Chhatrapati Sambhajinagar, is a city in the Indian state of Maharashtra. It is the administrative headquarters of Aurangabad district, Maharashtra and is the largest city in the Marathwada region. Located on a ...</v>
    <v>115</v>
    <v>116</v>
    <v>117</v>
    <v>118</v>
    <v>Aurangabad</v>
    <v>119</v>
    <v>10</v>
    <v>Aurangabad</v>
    <v>mdp/vdpid/7460760193870069761</v>
  </rv>
  <rv s="0">
    <v>536870912</v>
    <v>Rajahmundry</v>
    <v>34c8b225-3665-3c21-834f-9971523f4e96</v>
    <v>en-IN</v>
    <v>Map</v>
  </rv>
  <rv s="0">
    <v>536870912</v>
    <v>Andhra Pradesh</v>
    <v>9e3a52bb-38ae-c817-5cd2-7a8dd2a4c0e5</v>
    <v>en-IN</v>
    <v>Map</v>
  </rv>
  <rv s="0">
    <v>536870912</v>
    <v>East Godavari district</v>
    <v>7dadc876-13ad-268b-8530-e4a6a513b026</v>
    <v>en-IN</v>
    <v>Map</v>
  </rv>
  <rv s="1">
    <fb>56.03</fb>
    <v>10</v>
  </rv>
  <rv s="2">
    <v>11</v>
    <v>8</v>
    <v>43</v>
    <v>7</v>
    <v>0</v>
    <v>Image of Rajahmundry</v>
  </rv>
  <rv s="1">
    <fb>16.983333333333</fb>
    <v>16</v>
  </rv>
  <rv s="4">
    <v>https://www.bing.com/search?q=rajahmundry&amp;form=skydnc</v>
    <v>Learn more on Bing</v>
  </rv>
  <rv s="1">
    <fb>81.783333333333005</fb>
    <v>16</v>
  </rv>
  <rv s="1">
    <fb>341831</fb>
    <v>10</v>
  </rv>
  <rv s="13">
    <v>#VALUE!</v>
    <v>en-IN</v>
    <v>34c8b225-3665-3c21-834f-9971523f4e96</v>
    <v>536870912</v>
    <v>1</v>
    <v>44</v>
    <v>45</v>
    <v>Rajahmundry</v>
    <v>6</v>
    <v>7</v>
    <v>Map</v>
    <v>8</v>
    <v>15</v>
    <v>122</v>
    <v>123</v>
    <v>124</v>
    <v>15</v>
    <v>Rajahmundry, officially known as Rajamahendravaram, is a city in the Indian state of Andhra Pradesh and district headquarters of East Godavari district. It is the fifth most populated city in the state. During British rule, the district of ...</v>
    <v>125</v>
    <v>126</v>
    <v>127</v>
    <v>128</v>
    <v>Rajahmundry</v>
    <v>129</v>
    <v>Rajahmundry</v>
    <v>mdp/vdpid/7469033511224082434</v>
  </rv>
  <rv s="0">
    <v>536870912</v>
    <v>Jalandhar</v>
    <v>88ae9425-b66b-f38f-22a3-14678cab8fc7</v>
    <v>en-IN</v>
    <v>Map</v>
  </rv>
  <rv s="0">
    <v>536870912</v>
    <v>Jalandhar district</v>
    <v>98ab7c68-3445-dabc-73ec-ab5d0f3e610f</v>
    <v>en-IN</v>
    <v>Map</v>
  </rv>
  <rv s="1">
    <fb>110</fb>
    <v>10</v>
  </rv>
  <rv s="2">
    <v>12</v>
    <v>8</v>
    <v>46</v>
    <v>7</v>
    <v>0</v>
    <v>Image of Jalandhar</v>
  </rv>
  <rv s="1">
    <fb>31.325555555556001</fb>
    <v>16</v>
  </rv>
  <rv s="0">
    <v>805306368</v>
    <v>Jagdish Raja (Mayor)</v>
    <v>3e51b6d1-e339-57da-2a8d-5188ddc2dbe7</v>
    <v>en-IN</v>
    <v>Generic</v>
  </rv>
  <rv s="3">
    <v>10</v>
  </rv>
  <rv s="4">
    <v>https://www.bing.com/search?q=jalandhar+city&amp;form=skydnc</v>
    <v>Learn more on Bing</v>
  </rv>
  <rv s="1">
    <fb>75.579166666667007</fb>
    <v>16</v>
  </rv>
  <rv s="1">
    <fb>868929</fb>
    <v>10</v>
  </rv>
  <rv s="6">
    <v>#VALUE!</v>
    <v>en-IN</v>
    <v>88ae9425-b66b-f38f-22a3-14678cab8fc7</v>
    <v>536870912</v>
    <v>1</v>
    <v>47</v>
    <v>14</v>
    <v>Jalandhar</v>
    <v>6</v>
    <v>7</v>
    <v>Map</v>
    <v>8</v>
    <v>15</v>
    <v>132</v>
    <v>133</v>
    <v>15</v>
    <v>Jalandhar is a city in the state of Punjab in India. With a considerable population, it ranks as the third most-populous city in the state and is the largest city in the Doaba region. Jalandhar lies alongside the historical Grand Trunk Road and ...</v>
    <v>134</v>
    <v>135</v>
    <v>137</v>
    <v>138</v>
    <v>139</v>
    <v>Jalandhar</v>
    <v>140</v>
    <v>10</v>
    <v>Jalandhar</v>
    <v>mdp/vdpid/7406704896080084993</v>
  </rv>
  <rv s="0">
    <v>536870912</v>
    <v>Howrah</v>
    <v>2f1b6538-db37-b430-5154-a17de6e074ee</v>
    <v>en-IN</v>
    <v>Map</v>
  </rv>
  <rv s="0">
    <v>536870912</v>
    <v>Howrah district</v>
    <v>9c0e80e8-9b60-acab-4431-0cb76dee151b</v>
    <v>en-IN</v>
    <v>Map</v>
  </rv>
  <rv s="0">
    <v>536870912</v>
    <v>Howrah Sadar subdivision</v>
    <v>f3a64a82-cead-9bf3-595a-d9fe7d216c6e</v>
    <v>en-IN</v>
    <v>Map</v>
  </rv>
  <rv s="1">
    <fb>63.55</fb>
    <v>10</v>
  </rv>
  <rv s="2">
    <v>13</v>
    <v>8</v>
    <v>48</v>
    <v>7</v>
    <v>0</v>
    <v>Image of Howrah</v>
  </rv>
  <rv s="1">
    <fb>22.58</fb>
    <v>16</v>
  </rv>
  <rv s="4">
    <v>https://www.bing.com/search?q=howrah+india&amp;form=skydnc</v>
    <v>Learn more on Bing</v>
  </rv>
  <rv s="1">
    <fb>88.329444444444405</fb>
    <v>16</v>
  </rv>
  <rv s="1">
    <fb>1077075</fb>
    <v>10</v>
  </rv>
  <rv s="13">
    <v>#VALUE!</v>
    <v>en-IN</v>
    <v>2f1b6538-db37-b430-5154-a17de6e074ee</v>
    <v>536870912</v>
    <v>1</v>
    <v>49</v>
    <v>45</v>
    <v>Howrah</v>
    <v>6</v>
    <v>7</v>
    <v>Map</v>
    <v>8</v>
    <v>15</v>
    <v>143</v>
    <v>144</v>
    <v>145</v>
    <v>15</v>
    <v>Howrah is a city in the Indian state of West Bengal. Howrah is located on the western bank of the Hooghly River, opposite its twin city of Kolkata. Administratively Howrah lies within Howrah district, and is the headquarters of the Howrah Sadar ...</v>
    <v>146</v>
    <v>147</v>
    <v>148</v>
    <v>149</v>
    <v>Howrah</v>
    <v>150</v>
    <v>Howrah</v>
    <v>mdp/vdpid/7421787247940206593</v>
  </rv>
  <rv s="0">
    <v>536870912</v>
    <v>Vadodara</v>
    <v>48ec54d8-02f3-9881-a722-295575ea0990</v>
    <v>en-IN</v>
    <v>Map</v>
  </rv>
  <rv s="0">
    <v>536870912</v>
    <v>Vadodara district</v>
    <v>d778a052-ae0e-5374-8639-14017781313d</v>
    <v>en-IN</v>
    <v>Map</v>
  </rv>
  <rv s="1">
    <fb>235</fb>
    <v>10</v>
  </rv>
  <rv s="2">
    <v>14</v>
    <v>8</v>
    <v>50</v>
    <v>7</v>
    <v>0</v>
    <v>Image of Vadodara</v>
  </rv>
  <rv s="1">
    <fb>22.3</fb>
    <v>16</v>
  </rv>
  <rv s="0">
    <v>805306368</v>
    <v>Nileshsinh R Rathod (Mayor)</v>
    <v>0d477e3a-2f73-9b88-e0a7-a6513706bdbf</v>
    <v>en-IN</v>
    <v>Generic</v>
  </rv>
  <rv s="3">
    <v>11</v>
  </rv>
  <rv s="4">
    <v>https://www.bing.com/search?q=vadodara&amp;form=skydnc</v>
    <v>Learn more on Bing</v>
  </rv>
  <rv s="1">
    <fb>73.2</fb>
    <v>16</v>
  </rv>
  <rv s="1">
    <fb>2065771</fb>
    <v>10</v>
  </rv>
  <rv s="14">
    <v>#VALUE!</v>
    <v>en-IN</v>
    <v>48ec54d8-02f3-9881-a722-295575ea0990</v>
    <v>536870912</v>
    <v>1</v>
    <v>51</v>
    <v>52</v>
    <v>Vadodara</v>
    <v>6</v>
    <v>7</v>
    <v>Map</v>
    <v>8</v>
    <v>15</v>
    <v>36</v>
    <v>153</v>
    <v>154</v>
    <v>15</v>
    <v>Vadodara, formerly Baroda, is a major city in the Indian state of Gujarat. It serves as the administrative headquarters of the Vadodara district and is situated on the banks of the Vishwamitri River, 141 km from the state capital of Gandhinagar. ...</v>
    <v>155</v>
    <v>156</v>
    <v>158</v>
    <v>159</v>
    <v>160</v>
    <v>Vadodara</v>
    <v>161</v>
    <v>10</v>
    <v>Vadodara</v>
    <v>mdp/vdpid/7460213911174774785</v>
  </rv>
  <rv s="0">
    <v>536870912</v>
    <v>Mumbai</v>
    <v>fbbc8d69-667a-e1ff-34bf-e524be01025d</v>
    <v>en-IN</v>
    <v>Map</v>
  </rv>
  <rv s="1">
    <fb>603</fb>
    <v>10</v>
  </rv>
  <rv s="2">
    <v>15</v>
    <v>8</v>
    <v>53</v>
    <v>7</v>
    <v>0</v>
    <v>Image of Mumbai</v>
  </rv>
  <rv s="1">
    <fb>19.0758333333333</fb>
    <v>16</v>
  </rv>
  <rv s="4">
    <v>https://www.bing.com/search?q=mumbai+india&amp;form=skydnc</v>
    <v>Learn more on Bing</v>
  </rv>
  <rv s="1">
    <fb>72.877499999999998</fb>
    <v>16</v>
  </rv>
  <rv s="1">
    <fb>15414288</fb>
    <v>10</v>
  </rv>
  <rv s="3">
    <v>12</v>
  </rv>
  <rv s="15">
    <v>#VALUE!</v>
    <v>en-IN</v>
    <v>fbbc8d69-667a-e1ff-34bf-e524be01025d</v>
    <v>536870912</v>
    <v>1</v>
    <v>54</v>
    <v>55</v>
    <v>Mumbai</v>
    <v>6</v>
    <v>7</v>
    <v>Map</v>
    <v>8</v>
    <v>56</v>
    <v>164</v>
    <v>15</v>
    <v>Mumbai is the capital city of the Indian state of Maharashtra. Mumbai is the de facto financial centre and the most populous city of India with an estimated city proper population of 12.5 million. Mumbai is the centre of the Mumbai Metropolitan ...</v>
    <v>165</v>
    <v>166</v>
    <v>167</v>
    <v>168</v>
    <v>Mumbai</v>
    <v>169</v>
    <v>170</v>
    <v>Mumbai</v>
    <v>mdp/vdpid/-7996806402</v>
  </rv>
  <rv s="0">
    <v>536870912</v>
    <v>Surat</v>
    <v>84009283-7532-de89-21fb-ba3715bea856</v>
    <v>en-IN</v>
    <v>Map</v>
  </rv>
  <rv s="1">
    <fb>327</fb>
    <v>10</v>
  </rv>
  <rv s="2">
    <v>16</v>
    <v>8</v>
    <v>57</v>
    <v>7</v>
    <v>0</v>
    <v>Image of Surat</v>
  </rv>
  <rv s="1">
    <fb>21.204999999999998</fb>
    <v>16</v>
  </rv>
  <rv s="0">
    <v>805306368</v>
    <v>Daxesh Mavani (Mayor)</v>
    <v>aa4e5ff6-b51b-1ca6-0f20-f5ef8a0dbe12</v>
    <v>en-IN</v>
    <v>Generic</v>
  </rv>
  <rv s="3">
    <v>13</v>
  </rv>
  <rv s="4">
    <v>https://www.bing.com/search?q=surat&amp;form=skydnc</v>
    <v>Learn more on Bing</v>
  </rv>
  <rv s="1">
    <fb>72.84</fb>
    <v>16</v>
  </rv>
  <rv s="1">
    <fb>6936534</fb>
    <v>10</v>
  </rv>
  <rv s="7">
    <v>#VALUE!</v>
    <v>en-IN</v>
    <v>84009283-7532-de89-21fb-ba3715bea856</v>
    <v>536870912</v>
    <v>1</v>
    <v>58</v>
    <v>19</v>
    <v>Surat</v>
    <v>6</v>
    <v>7</v>
    <v>Map</v>
    <v>8</v>
    <v>59</v>
    <v>36</v>
    <v>173</v>
    <v>15</v>
    <v>Surat is a city in the western Indian state of Gujarat. The word Surat directly translates to face in Urdu, Gujarati and Hindi. Located on the banks of the river Tapti near its confluence with the Arabian Sea, it used to be a large seaport. It ...</v>
    <v>174</v>
    <v>175</v>
    <v>177</v>
    <v>178</v>
    <v>179</v>
    <v>Surat</v>
    <v>180</v>
    <v>10</v>
    <v>Surat</v>
    <v>mdp/vdpid/7458801170803326977</v>
  </rv>
  <rv s="0">
    <v>536870912</v>
    <v>Lucknow</v>
    <v>dc71be1b-423d-5d51-7301-4846995e4f20</v>
    <v>en-IN</v>
    <v>Map</v>
  </rv>
  <rv s="0">
    <v>536870912</v>
    <v>Lucknow district</v>
    <v>bbc96cd0-ed0c-c4f2-bd82-60134b9dfd83</v>
    <v>en-IN</v>
    <v>Map</v>
  </rv>
  <rv s="1">
    <fb>631</fb>
    <v>10</v>
  </rv>
  <rv s="2">
    <v>17</v>
    <v>8</v>
    <v>60</v>
    <v>7</v>
    <v>0</v>
    <v>Image of Lucknow</v>
  </rv>
  <rv s="1">
    <fb>26.847000000000001</fb>
    <v>16</v>
  </rv>
  <rv s="0">
    <v>805306368</v>
    <v>Sushma Kharakwal (Mayor)</v>
    <v>86ad1448-5850-5224-dc66-301560d15418</v>
    <v>en-IN</v>
    <v>Generic</v>
  </rv>
  <rv s="3">
    <v>14</v>
  </rv>
  <rv s="4">
    <v>https://www.bing.com/search?q=lucknow&amp;form=skydnc</v>
    <v>Learn more on Bing</v>
  </rv>
  <rv s="1">
    <fb>80.947000000000003</fb>
    <v>16</v>
  </rv>
  <rv s="1">
    <fb>3382000</fb>
    <v>10</v>
  </rv>
  <rv s="9">
    <v>#VALUE!</v>
    <v>en-IN</v>
    <v>dc71be1b-423d-5d51-7301-4846995e4f20</v>
    <v>536870912</v>
    <v>1</v>
    <v>61</v>
    <v>29</v>
    <v>Lucknow</v>
    <v>6</v>
    <v>7</v>
    <v>Map</v>
    <v>8</v>
    <v>62</v>
    <v>183</v>
    <v>184</v>
    <v>15</v>
    <v>Lucknow is the capital and the largest city of the Indian state of Uttar Pradesh and it is also the second largest urban agglomeration in Uttar Pradesh after Kanpur. Lucknow is the administrative headquarters of the eponymous district and ...</v>
    <v>185</v>
    <v>186</v>
    <v>188</v>
    <v>189</v>
    <v>190</v>
    <v>Lucknow</v>
    <v>191</v>
    <v>Lucknow</v>
    <v>mdp/vdpid/7417697106275598337</v>
  </rv>
</rvData>
</file>

<file path=xl/richData/rdrichvaluestructure.xml><?xml version="1.0" encoding="utf-8"?>
<rvStructures xmlns="http://schemas.microsoft.com/office/spreadsheetml/2017/richdata" count="1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11">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2 (County/district/other)</v>
      <v t="s">Country/region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spbArrays>
  <spbData count="63">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0">
      <v xml:space="preserve">Wikipedia	Weathertrends360	</v>
      <v xml:space="preserve">CC-BY-SA		</v>
      <v xml:space="preserve">http://en.wikipedia.org/wiki/Delhi	https://www.weathertrends360.com/	</v>
      <v xml:space="preserve">http://creativecommons.org/licenses/by-sa/3.0/		</v>
    </spb>
    <spb s="1">
      <v>0</v>
      <v>0</v>
      <v>0</v>
      <v>0</v>
      <v>0</v>
      <v>1</v>
      <v>2</v>
      <v>0</v>
      <v>2</v>
    </spb>
    <spb s="2">
      <v>0</v>
      <v>Name</v>
      <v>LearnMoreOnLink</v>
    </spb>
    <spb s="3">
      <v>0</v>
      <v>0</v>
      <v>0</v>
    </spb>
    <spb s="4">
      <v>5</v>
      <v>5</v>
      <v>5</v>
    </spb>
    <spb s="5">
      <v>1</v>
      <v>2</v>
    </spb>
    <spb s="6">
      <v>https://www.bing.com</v>
      <v>https://www.bing.com/th?id=Ga%5Cbing_yt.png&amp;w=100&amp;h=40&amp;c=0&amp;pid=0.1</v>
      <v>Powered by Bing</v>
    </spb>
    <spb s="7">
      <v>square km</v>
      <v>2019</v>
    </spb>
    <spb s="8">
      <v>3</v>
    </spb>
    <spb s="0">
      <v xml:space="preserve">Wikipedia	</v>
      <v xml:space="preserve">CC-BY-SA	</v>
      <v xml:space="preserve">http://en.wikipedia.org/wiki/Gurgaon	</v>
      <v xml:space="preserve">http://creativecommons.org/licenses/by-sa/3.0/	</v>
    </spb>
    <spb s="0">
      <v xml:space="preserve">Wikipedia	</v>
      <v xml:space="preserve">CC BY-SA 3.0	</v>
      <v xml:space="preserve">https://en.wikipedia.org/wiki/Gurgaon	</v>
      <v xml:space="preserve">https://creativecommons.org/licenses/by-sa/3.0	</v>
    </spb>
    <spb s="9">
      <v>11</v>
      <v>12</v>
      <v>12</v>
      <v>12</v>
      <v>12</v>
      <v>12</v>
      <v>12</v>
      <v>12</v>
      <v>12</v>
    </spb>
    <spb s="2">
      <v>1</v>
      <v>Name</v>
      <v>LearnMoreOnLink</v>
    </spb>
    <spb s="7">
      <v>square km</v>
      <v>2011</v>
    </spb>
    <spb s="8">
      <v>4</v>
    </spb>
    <spb s="0">
      <v xml:space="preserve">Wikipedia	</v>
      <v xml:space="preserve">CC BY-SA 3.0	</v>
      <v xml:space="preserve">https://en.wikipedia.org/wiki/Rohtak	</v>
      <v xml:space="preserve">https://creativecommons.org/licenses/by-sa/3.0	</v>
    </spb>
    <spb s="10">
      <v>17</v>
      <v>17</v>
      <v>17</v>
      <v>17</v>
      <v>17</v>
      <v>17</v>
      <v>17</v>
      <v>17</v>
      <v>17</v>
    </spb>
    <spb s="2">
      <v>2</v>
      <v>Name</v>
      <v>LearnMoreOnLink</v>
    </spb>
    <spb s="0">
      <v xml:space="preserve">Wikipedia	</v>
      <v xml:space="preserve">CC BY-SA 3.0	</v>
      <v xml:space="preserve">https://en.wikipedia.org/wiki/Ahmedabad	</v>
      <v xml:space="preserve">https://creativecommons.org/licenses/by-sa/3.0	</v>
    </spb>
    <spb s="10">
      <v>20</v>
      <v>20</v>
      <v>20</v>
      <v>20</v>
      <v>20</v>
      <v>20</v>
      <v>20</v>
      <v>20</v>
      <v>20</v>
    </spb>
    <spb s="7">
      <v>square km</v>
      <v>2024</v>
    </spb>
    <spb s="0">
      <v xml:space="preserve">Wikipedia	</v>
      <v xml:space="preserve">CC BY-SA 3.0	</v>
      <v xml:space="preserve">https://en.wikipedia.org/wiki/Panchkula	</v>
      <v xml:space="preserve">https://creativecommons.org/licenses/by-sa/3.0	</v>
    </spb>
    <spb s="0">
      <v xml:space="preserve">Wikipedia	</v>
      <v xml:space="preserve">CC-BY-SA	</v>
      <v xml:space="preserve">http://en.wikipedia.org/wiki/Panchkula	</v>
      <v xml:space="preserve">http://creativecommons.org/licenses/by-sa/3.0/	</v>
    </spb>
    <spb s="11">
      <v>23</v>
      <v>23</v>
      <v>23</v>
      <v>23</v>
      <v>24</v>
      <v>23</v>
      <v>23</v>
      <v>23</v>
      <v>23</v>
      <v>23</v>
    </spb>
    <spb s="2">
      <v>3</v>
      <v>Name</v>
      <v>LearnMoreOnLink</v>
    </spb>
    <spb s="0">
      <v xml:space="preserve">Wikipedia	</v>
      <v xml:space="preserve">CC BY-SA 3.0	</v>
      <v xml:space="preserve">https://en.wikipedia.org/wiki/Ghaziabad	</v>
      <v xml:space="preserve">https://creativecommons.org/licenses/by-sa/3.0	</v>
    </spb>
    <spb s="9">
      <v>27</v>
      <v>27</v>
      <v>27</v>
      <v>27</v>
      <v>27</v>
      <v>27</v>
      <v>27</v>
      <v>27</v>
      <v>27</v>
    </spb>
    <spb s="2">
      <v>4</v>
      <v>Name</v>
      <v>LearnMoreOnLink</v>
    </spb>
    <spb s="0">
      <v xml:space="preserve">Wikipedia	</v>
      <v xml:space="preserve">CC BY-SA 3.0	</v>
      <v xml:space="preserve">https://en.wikipedia.org/wiki/Kolkata	</v>
      <v xml:space="preserve">https://creativecommons.org/licenses/by-sa/3.0	</v>
    </spb>
    <spb s="12">
      <v>30</v>
      <v>30</v>
      <v>30</v>
      <v>30</v>
      <v>30</v>
      <v>30</v>
      <v>30</v>
      <v>30</v>
    </spb>
    <spb s="2">
      <v>5</v>
      <v>Name</v>
      <v>LearnMoreOnLink</v>
    </spb>
    <spb s="0">
      <v xml:space="preserve">Wikipedia	</v>
      <v xml:space="preserve">CC BY-SA 3.0	</v>
      <v xml:space="preserve">https://en.wikipedia.org/wiki/Faridabad	</v>
      <v xml:space="preserve">https://creativecommons.org/licenses/by-sa/3.0	</v>
    </spb>
    <spb s="9">
      <v>33</v>
      <v>33</v>
      <v>33</v>
      <v>33</v>
      <v>33</v>
      <v>33</v>
      <v>33</v>
      <v>33</v>
      <v>33</v>
    </spb>
    <spb s="0">
      <v xml:space="preserve">Wikipedia	</v>
      <v xml:space="preserve">CC BY-SA 3.0	</v>
      <v xml:space="preserve">https://en.wikipedia.org/wiki/Nira_Narsingpur	</v>
      <v xml:space="preserve">https://creativecommons.org/licenses/by-sa/3.0	</v>
    </spb>
    <spb s="13">
      <v>35</v>
      <v>35</v>
      <v>35</v>
      <v>35</v>
      <v>35</v>
      <v>35</v>
      <v>35</v>
    </spb>
    <spb s="2">
      <v>6</v>
      <v>Name</v>
      <v>LearnMoreOnLink</v>
    </spb>
    <spb s="0">
      <v xml:space="preserve">Wikipedia	</v>
      <v xml:space="preserve">CC BY-SA 3.0	</v>
      <v xml:space="preserve">https://en.wikipedia.org/wiki/Jaipur	</v>
      <v xml:space="preserve">https://creativecommons.org/licenses/by-sa/3.0	</v>
    </spb>
    <spb s="9">
      <v>38</v>
      <v>38</v>
      <v>38</v>
      <v>38</v>
      <v>38</v>
      <v>38</v>
      <v>38</v>
      <v>38</v>
      <v>38</v>
    </spb>
    <spb s="0">
      <v xml:space="preserve">Wikipedia	</v>
      <v xml:space="preserve">CC BY-SA 3.0	</v>
      <v xml:space="preserve">https://en.wikipedia.org/wiki/Aurangabad	</v>
      <v xml:space="preserve">https://creativecommons.org/licenses/by-sa/3.0	</v>
    </spb>
    <spb s="14">
      <v>40</v>
      <v>40</v>
      <v>40</v>
      <v>40</v>
      <v>40</v>
      <v>40</v>
      <v>40</v>
      <v>40</v>
    </spb>
    <spb s="2">
      <v>7</v>
      <v>Name</v>
      <v>LearnMoreOnLink</v>
    </spb>
    <spb s="0">
      <v xml:space="preserve">Wikipedia	</v>
      <v xml:space="preserve">CC BY-SA 3.0	</v>
      <v xml:space="preserve">https://en.wikipedia.org/wiki/Rajahmundry	</v>
      <v xml:space="preserve">https://creativecommons.org/licenses/by-sa/3.0	</v>
    </spb>
    <spb s="11">
      <v>43</v>
      <v>43</v>
      <v>43</v>
      <v>43</v>
      <v>43</v>
      <v>43</v>
      <v>43</v>
      <v>43</v>
      <v>43</v>
      <v>43</v>
    </spb>
    <spb s="2">
      <v>8</v>
      <v>Name</v>
      <v>LearnMoreOnLink</v>
    </spb>
    <spb s="0">
      <v xml:space="preserve">Wikipedia	</v>
      <v xml:space="preserve">CC BY-SA 3.0	</v>
      <v xml:space="preserve">https://en.wikipedia.org/wiki/Jalandhar	</v>
      <v xml:space="preserve">https://creativecommons.org/licenses/by-sa/3.0	</v>
    </spb>
    <spb s="9">
      <v>46</v>
      <v>46</v>
      <v>46</v>
      <v>46</v>
      <v>46</v>
      <v>46</v>
      <v>46</v>
      <v>46</v>
      <v>46</v>
    </spb>
    <spb s="0">
      <v xml:space="preserve">Wikipedia	</v>
      <v xml:space="preserve">CC BY-SA 3.0	</v>
      <v xml:space="preserve">https://en.wikipedia.org/wiki/Howrah	</v>
      <v xml:space="preserve">https://creativecommons.org/licenses/by-sa/3.0	</v>
    </spb>
    <spb s="11">
      <v>48</v>
      <v>48</v>
      <v>48</v>
      <v>48</v>
      <v>48</v>
      <v>48</v>
      <v>48</v>
      <v>48</v>
      <v>48</v>
      <v>48</v>
    </spb>
    <spb s="0">
      <v xml:space="preserve">Wikipedia	</v>
      <v xml:space="preserve">CC BY-SA 3.0	</v>
      <v xml:space="preserve">https://en.wikipedia.org/wiki/Vadodara	</v>
      <v xml:space="preserve">https://creativecommons.org/licenses/by-sa/3.0	</v>
    </spb>
    <spb s="11">
      <v>50</v>
      <v>50</v>
      <v>50</v>
      <v>50</v>
      <v>50</v>
      <v>50</v>
      <v>50</v>
      <v>50</v>
      <v>50</v>
      <v>50</v>
    </spb>
    <spb s="2">
      <v>9</v>
      <v>Name</v>
      <v>LearnMoreOnLink</v>
    </spb>
    <spb s="0">
      <v xml:space="preserve">Wikipedia	</v>
      <v xml:space="preserve">CC BY-SA 3.0	</v>
      <v xml:space="preserve">https://en.wikipedia.org/wiki/Mumbai	</v>
      <v xml:space="preserve">https://creativecommons.org/licenses/by-sa/3.0	</v>
    </spb>
    <spb s="12">
      <v>53</v>
      <v>53</v>
      <v>53</v>
      <v>53</v>
      <v>53</v>
      <v>53</v>
      <v>53</v>
      <v>53</v>
    </spb>
    <spb s="2">
      <v>10</v>
      <v>Name</v>
      <v>LearnMoreOnLink</v>
    </spb>
    <spb s="7">
      <v>square km</v>
      <v>2018</v>
    </spb>
    <spb s="0">
      <v xml:space="preserve">Wikipedia	</v>
      <v xml:space="preserve">CC BY-SA 3.0	</v>
      <v xml:space="preserve">https://en.wikipedia.org/wiki/Surat	</v>
      <v xml:space="preserve">https://creativecommons.org/licenses/by-sa/3.0	</v>
    </spb>
    <spb s="10">
      <v>57</v>
      <v>57</v>
      <v>57</v>
      <v>57</v>
      <v>57</v>
      <v>57</v>
      <v>57</v>
      <v>57</v>
      <v>57</v>
    </spb>
    <spb s="7">
      <v>square km</v>
      <v>2021</v>
    </spb>
    <spb s="0">
      <v xml:space="preserve">Wikipedia	</v>
      <v xml:space="preserve">CC BY-SA 3.0	</v>
      <v xml:space="preserve">https://en.wikipedia.org/wiki/Lucknow	</v>
      <v xml:space="preserve">https://creativecommons.org/licenses/by-sa/3.0	</v>
    </spb>
    <spb s="9">
      <v>60</v>
      <v>60</v>
      <v>60</v>
      <v>60</v>
      <v>60</v>
      <v>60</v>
      <v>60</v>
      <v>60</v>
      <v>60</v>
    </spb>
    <spb s="7">
      <v>square km</v>
      <v>2017</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2 (County/district/other)" t="spb"/>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k n="Admin Division 1 (State/province/other)" t="spb"/>
    <k n="Admin Division 2 (County/district/other)" t="spb"/>
  </s>
  <s>
    <k n="Area" t="spb"/>
    <k n="Name" t="spb"/>
    <k n="Latitude" t="spb"/>
    <k n="Longitude" t="spb"/>
    <k n="Population" t="spb"/>
    <k n="UniqueName" t="spb"/>
    <k n="Description" t="spb"/>
    <k n="Country/region" t="spb"/>
  </s>
  <s>
    <k n="Name" t="spb"/>
    <k n="Latitude" t="spb"/>
    <k n="Longitude" t="spb"/>
    <k n="UniqueName" t="spb"/>
    <k n="Description" t="spb"/>
    <k n="Country/region" t="spb"/>
    <k n="Admin Division 2 (County/district/other)" t="spb"/>
  </s>
  <s>
    <k n="Name" t="spb"/>
    <k n="Latitude" t="spb"/>
    <k n="Longitude" t="spb"/>
    <k n="Population" t="spb"/>
    <k n="UniqueName" t="spb"/>
    <k n="Description" t="spb"/>
    <k n="Country/region"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76" dT="2025-11-13T09:20:57.90" personId="{74D71C79-C8AE-4D0C-AC19-EDFFA1195FA8}" id="{39759749-7B5E-4B80-AF12-F073BAFB3AFA}">
    <text xml:space="preserve">Top cover damage 
</text>
  </threadedComment>
  <threadedComment ref="I91" dT="2025-11-13T09:18:45.50" personId="{74D71C79-C8AE-4D0C-AC19-EDFFA1195FA8}" id="{2CAF7E4C-6097-4B1F-9D7B-D4E1CF6B23D4}">
    <text xml:space="preserve">OCDC failure - Pyro Switch </text>
  </threadedComment>
  <threadedComment ref="I100" dT="2025-11-13T09:16:33.20" personId="{74D71C79-C8AE-4D0C-AC19-EDFFA1195FA8}" id="{472DFADD-BB88-4FD9-AE75-B99CBAAAF386}">
    <text xml:space="preserve">Contractor weld - NSU and PSU change  - Under analysis </text>
  </threadedComment>
  <threadedComment ref="I107" dT="2025-11-13T09:15:29.06" personId="{74D71C79-C8AE-4D0C-AC19-EDFFA1195FA8}" id="{BFFD48AC-6066-43F4-815B-FCE18E474722}">
    <text xml:space="preserve">IVT Failure - BDU MFG - 02 SEP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0984-B044-4FD0-95D3-20DF519EEC47}">
  <sheetPr>
    <tabColor rgb="FF00B050"/>
  </sheetPr>
  <dimension ref="A1:AP291"/>
  <sheetViews>
    <sheetView tabSelected="1" view="pageBreakPreview" zoomScale="70" zoomScaleNormal="80" zoomScaleSheetLayoutView="70" workbookViewId="0">
      <pane ySplit="1" topLeftCell="A2" activePane="bottomLeft" state="frozen"/>
      <selection activeCell="J1" sqref="J1"/>
      <selection pane="bottomLeft" activeCell="AC1" sqref="AC1:AC1048576"/>
    </sheetView>
  </sheetViews>
  <sheetFormatPr defaultColWidth="8.7265625" defaultRowHeight="30" customHeight="1"/>
  <cols>
    <col min="1" max="1" width="14.453125" style="25" customWidth="1"/>
    <col min="2" max="2" width="8.81640625" style="129" customWidth="1"/>
    <col min="3" max="3" width="14.453125" style="129" customWidth="1"/>
    <col min="4" max="4" width="21.1796875" style="129" customWidth="1"/>
    <col min="5" max="5" width="22.453125" style="129" bestFit="1" customWidth="1"/>
    <col min="6" max="6" width="16.1796875" style="129" customWidth="1"/>
    <col min="7" max="7" width="8.7265625" style="129" customWidth="1"/>
    <col min="8" max="8" width="13.81640625" style="129" customWidth="1"/>
    <col min="9" max="9" width="12.7265625" style="129" customWidth="1"/>
    <col min="10" max="10" width="12" style="129" customWidth="1"/>
    <col min="11" max="11" width="51.1796875" style="25" customWidth="1"/>
    <col min="12" max="12" width="14.81640625" style="25" customWidth="1"/>
    <col min="13" max="13" width="23.1796875" style="25" customWidth="1"/>
    <col min="14" max="14" width="30" style="25" customWidth="1"/>
    <col min="15" max="15" width="21.26953125" style="25" customWidth="1"/>
    <col min="16" max="16" width="9.1796875" style="25" customWidth="1"/>
    <col min="17" max="17" width="12.26953125" style="25" customWidth="1"/>
    <col min="18" max="18" width="13.7265625" style="25" customWidth="1"/>
    <col min="19" max="19" width="13.26953125" style="25" customWidth="1"/>
    <col min="20" max="20" width="9.7265625" style="34" customWidth="1"/>
    <col min="21" max="21" width="10.54296875" style="25" customWidth="1"/>
    <col min="22" max="22" width="31.36328125" style="160" customWidth="1"/>
    <col min="23" max="24" width="8.81640625" style="155" customWidth="1"/>
    <col min="25" max="25" width="13.1796875" style="25" customWidth="1"/>
    <col min="26" max="26" width="8.81640625" style="25" customWidth="1"/>
    <col min="27" max="27" width="11" style="25" customWidth="1"/>
    <col min="28" max="28" width="12.7265625" style="156" customWidth="1"/>
    <col min="29" max="29" width="11.54296875" style="157" customWidth="1"/>
    <col min="30" max="30" width="14.26953125" style="158" customWidth="1"/>
    <col min="31" max="31" width="8.7265625" style="25" customWidth="1"/>
    <col min="32" max="32" width="8.7265625" style="129" customWidth="1"/>
    <col min="33" max="33" width="13.453125" style="129" customWidth="1"/>
    <col min="34" max="34" width="18.90625" style="25" customWidth="1"/>
    <col min="35" max="35" width="15.26953125" style="25" customWidth="1"/>
    <col min="36" max="36" width="18.90625" style="25" customWidth="1"/>
    <col min="37" max="37" width="28.36328125" style="25" customWidth="1"/>
    <col min="38" max="38" width="9.54296875" style="25" customWidth="1"/>
    <col min="39" max="39" width="8.81640625" style="25" customWidth="1"/>
    <col min="40" max="40" width="11" style="25" customWidth="1"/>
    <col min="41" max="16384" width="8.7265625" style="25"/>
  </cols>
  <sheetData>
    <row r="1" spans="1:40" s="15" customFormat="1" ht="30" customHeight="1">
      <c r="A1" s="1" t="s">
        <v>0</v>
      </c>
      <c r="B1" s="1" t="s">
        <v>1</v>
      </c>
      <c r="C1" s="2" t="s">
        <v>2</v>
      </c>
      <c r="D1" s="2" t="s">
        <v>3</v>
      </c>
      <c r="E1" s="2" t="s">
        <v>4</v>
      </c>
      <c r="F1" s="2" t="s">
        <v>5</v>
      </c>
      <c r="G1" s="2" t="s">
        <v>6</v>
      </c>
      <c r="H1" s="2" t="s">
        <v>7</v>
      </c>
      <c r="I1" s="2" t="s">
        <v>8</v>
      </c>
      <c r="J1" s="2" t="s">
        <v>9</v>
      </c>
      <c r="K1" s="3" t="s">
        <v>10</v>
      </c>
      <c r="L1" s="3" t="s">
        <v>11</v>
      </c>
      <c r="M1" s="3" t="s">
        <v>12</v>
      </c>
      <c r="N1" s="3" t="s">
        <v>13</v>
      </c>
      <c r="O1" s="3" t="s">
        <v>14</v>
      </c>
      <c r="P1" s="3" t="s">
        <v>15</v>
      </c>
      <c r="Q1" s="3" t="s">
        <v>16</v>
      </c>
      <c r="R1" s="3" t="s">
        <v>17</v>
      </c>
      <c r="S1" s="4" t="s">
        <v>18</v>
      </c>
      <c r="T1" s="5" t="s">
        <v>19</v>
      </c>
      <c r="U1" s="6" t="s">
        <v>20</v>
      </c>
      <c r="V1" s="7" t="s">
        <v>21</v>
      </c>
      <c r="W1" s="8" t="s">
        <v>22</v>
      </c>
      <c r="X1" s="8" t="s">
        <v>23</v>
      </c>
      <c r="Y1" s="8" t="s">
        <v>24</v>
      </c>
      <c r="Z1" s="8" t="s">
        <v>25</v>
      </c>
      <c r="AA1" s="8" t="s">
        <v>26</v>
      </c>
      <c r="AB1" s="9" t="s">
        <v>27</v>
      </c>
      <c r="AC1" s="10" t="s">
        <v>28</v>
      </c>
      <c r="AD1" s="11" t="s">
        <v>29</v>
      </c>
      <c r="AE1" s="12" t="s">
        <v>30</v>
      </c>
      <c r="AF1" s="13" t="s">
        <v>31</v>
      </c>
      <c r="AG1" s="13" t="s">
        <v>32</v>
      </c>
      <c r="AH1" s="14" t="s">
        <v>33</v>
      </c>
      <c r="AI1" s="14" t="s">
        <v>34</v>
      </c>
      <c r="AJ1" s="14" t="s">
        <v>35</v>
      </c>
      <c r="AK1" s="14" t="s">
        <v>36</v>
      </c>
      <c r="AL1" s="14" t="s">
        <v>37</v>
      </c>
      <c r="AM1" s="14" t="s">
        <v>38</v>
      </c>
      <c r="AN1" s="15" t="s">
        <v>39</v>
      </c>
    </row>
    <row r="2" spans="1:40" ht="30" customHeight="1">
      <c r="A2" s="16" t="s">
        <v>40</v>
      </c>
      <c r="B2" s="17">
        <v>1</v>
      </c>
      <c r="C2" s="18">
        <v>45809</v>
      </c>
      <c r="D2" s="19" t="s">
        <v>41</v>
      </c>
      <c r="E2" s="19" t="e" vm="1">
        <v>#VALUE!</v>
      </c>
      <c r="F2" s="19" t="s">
        <v>42</v>
      </c>
      <c r="G2" s="19" t="s">
        <v>43</v>
      </c>
      <c r="H2" s="19"/>
      <c r="I2" s="19" t="s">
        <v>44</v>
      </c>
      <c r="J2" s="19" t="s">
        <v>45</v>
      </c>
      <c r="K2" s="20"/>
      <c r="L2" s="20"/>
      <c r="M2" s="20"/>
      <c r="N2" s="20"/>
      <c r="O2" s="20"/>
      <c r="P2" s="20" t="s">
        <v>46</v>
      </c>
      <c r="Q2" s="20" t="s">
        <v>47</v>
      </c>
      <c r="R2" s="20" t="s">
        <v>48</v>
      </c>
      <c r="S2" s="20">
        <v>696</v>
      </c>
      <c r="T2" s="20"/>
      <c r="U2" s="20"/>
      <c r="V2" s="20" t="s">
        <v>49</v>
      </c>
      <c r="W2" s="20">
        <v>8468</v>
      </c>
      <c r="X2" s="20" t="s">
        <v>50</v>
      </c>
      <c r="Y2" s="20" t="s">
        <v>51</v>
      </c>
      <c r="Z2" s="20" t="s">
        <v>52</v>
      </c>
      <c r="AA2" s="20" t="s">
        <v>53</v>
      </c>
      <c r="AB2" s="20" t="s">
        <v>47</v>
      </c>
      <c r="AC2" s="21">
        <v>45684</v>
      </c>
      <c r="AD2" s="21">
        <v>45809</v>
      </c>
      <c r="AE2" s="22">
        <v>45827</v>
      </c>
      <c r="AF2" s="23">
        <f>AD2-AC2</f>
        <v>125</v>
      </c>
      <c r="AG2" s="24" t="s">
        <v>54</v>
      </c>
      <c r="AH2" s="20">
        <v>0</v>
      </c>
      <c r="AI2" s="20"/>
      <c r="AJ2" s="20"/>
      <c r="AK2" s="20">
        <v>8945</v>
      </c>
      <c r="AL2" s="25">
        <v>815</v>
      </c>
      <c r="AM2" s="26">
        <v>9760</v>
      </c>
      <c r="AN2" s="25" t="s">
        <v>55</v>
      </c>
    </row>
    <row r="3" spans="1:40" ht="30" customHeight="1">
      <c r="A3" s="16"/>
      <c r="B3" s="17">
        <v>2</v>
      </c>
      <c r="C3" s="18">
        <v>45841</v>
      </c>
      <c r="D3" s="19" t="s">
        <v>41</v>
      </c>
      <c r="E3" s="19" t="e" vm="1">
        <v>#VALUE!</v>
      </c>
      <c r="F3" s="19" t="s">
        <v>42</v>
      </c>
      <c r="G3" s="19" t="s">
        <v>43</v>
      </c>
      <c r="H3" s="19"/>
      <c r="I3" s="19" t="s">
        <v>56</v>
      </c>
      <c r="J3" s="19" t="s">
        <v>57</v>
      </c>
      <c r="K3" s="20"/>
      <c r="L3" s="20"/>
      <c r="M3" s="20"/>
      <c r="N3" s="20"/>
      <c r="O3" s="20"/>
      <c r="P3" s="20" t="s">
        <v>46</v>
      </c>
      <c r="Q3" s="20" t="s">
        <v>47</v>
      </c>
      <c r="R3" s="20" t="s">
        <v>48</v>
      </c>
      <c r="S3" s="20">
        <v>696</v>
      </c>
      <c r="T3" s="20"/>
      <c r="U3" s="20"/>
      <c r="V3" s="20" t="s">
        <v>49</v>
      </c>
      <c r="W3" s="20">
        <v>8686</v>
      </c>
      <c r="X3" s="20" t="s">
        <v>50</v>
      </c>
      <c r="Y3" s="20" t="s">
        <v>51</v>
      </c>
      <c r="Z3" s="20" t="s">
        <v>52</v>
      </c>
      <c r="AA3" s="20" t="s">
        <v>53</v>
      </c>
      <c r="AB3" s="20" t="s">
        <v>47</v>
      </c>
      <c r="AC3" s="21">
        <v>45729</v>
      </c>
      <c r="AD3" s="21">
        <v>45841</v>
      </c>
      <c r="AE3" s="22">
        <v>45754</v>
      </c>
      <c r="AF3" s="23">
        <f t="shared" ref="AF3:AF66" si="0">AD3-AC3</f>
        <v>112</v>
      </c>
      <c r="AG3" s="24" t="s">
        <v>54</v>
      </c>
      <c r="AH3" s="20">
        <v>0</v>
      </c>
      <c r="AI3" s="20"/>
      <c r="AJ3" s="20"/>
      <c r="AK3" s="20">
        <v>8945</v>
      </c>
      <c r="AL3" s="25">
        <v>815</v>
      </c>
      <c r="AM3" s="26">
        <v>9760</v>
      </c>
      <c r="AN3" s="25" t="s">
        <v>55</v>
      </c>
    </row>
    <row r="4" spans="1:40" ht="22.5" customHeight="1">
      <c r="A4" s="16"/>
      <c r="B4" s="17">
        <v>3</v>
      </c>
      <c r="C4" s="18">
        <v>45852</v>
      </c>
      <c r="D4" s="19" t="s">
        <v>41</v>
      </c>
      <c r="E4" s="19" t="e" vm="2">
        <v>#VALUE!</v>
      </c>
      <c r="F4" s="19" t="s">
        <v>58</v>
      </c>
      <c r="G4" s="19" t="s">
        <v>43</v>
      </c>
      <c r="H4" s="19"/>
      <c r="I4" s="19" t="s">
        <v>59</v>
      </c>
      <c r="J4" s="19" t="s">
        <v>57</v>
      </c>
      <c r="K4" s="20"/>
      <c r="L4" s="20"/>
      <c r="M4" s="20"/>
      <c r="N4" s="20"/>
      <c r="O4" s="20"/>
      <c r="P4" s="20" t="s">
        <v>46</v>
      </c>
      <c r="Q4" s="20" t="s">
        <v>47</v>
      </c>
      <c r="R4" s="20" t="s">
        <v>48</v>
      </c>
      <c r="S4" s="20">
        <v>696</v>
      </c>
      <c r="T4" s="20"/>
      <c r="U4" s="20"/>
      <c r="V4" s="20" t="s">
        <v>49</v>
      </c>
      <c r="W4" s="20">
        <v>2998</v>
      </c>
      <c r="X4" s="20" t="s">
        <v>60</v>
      </c>
      <c r="Y4" s="20" t="s">
        <v>51</v>
      </c>
      <c r="Z4" s="20" t="s">
        <v>52</v>
      </c>
      <c r="AA4" s="20"/>
      <c r="AB4" s="20" t="s">
        <v>47</v>
      </c>
      <c r="AC4" s="21">
        <v>45689</v>
      </c>
      <c r="AD4" s="21">
        <v>45839</v>
      </c>
      <c r="AE4" s="22" t="s">
        <v>53</v>
      </c>
      <c r="AF4" s="23">
        <f t="shared" si="0"/>
        <v>150</v>
      </c>
      <c r="AG4" s="24" t="s">
        <v>54</v>
      </c>
      <c r="AH4" s="20">
        <v>0</v>
      </c>
      <c r="AI4" s="20"/>
      <c r="AJ4" s="20"/>
      <c r="AK4" s="20">
        <v>8945</v>
      </c>
      <c r="AL4" s="25">
        <v>815</v>
      </c>
      <c r="AM4" s="26">
        <v>9760</v>
      </c>
      <c r="AN4" s="25" t="s">
        <v>55</v>
      </c>
    </row>
    <row r="5" spans="1:40" ht="30" customHeight="1">
      <c r="A5" s="16"/>
      <c r="B5" s="17">
        <v>4</v>
      </c>
      <c r="C5" s="18">
        <v>45850</v>
      </c>
      <c r="D5" s="19" t="s">
        <v>41</v>
      </c>
      <c r="E5" s="19" t="e" vm="3">
        <v>#VALUE!</v>
      </c>
      <c r="F5" s="19" t="s">
        <v>61</v>
      </c>
      <c r="G5" s="19" t="s">
        <v>43</v>
      </c>
      <c r="H5" s="19"/>
      <c r="I5" s="19" t="s">
        <v>62</v>
      </c>
      <c r="J5" s="19" t="s">
        <v>57</v>
      </c>
      <c r="K5" s="20"/>
      <c r="L5" s="20"/>
      <c r="M5" s="20"/>
      <c r="N5" s="20"/>
      <c r="O5" s="20"/>
      <c r="P5" s="20" t="s">
        <v>46</v>
      </c>
      <c r="Q5" s="20" t="s">
        <v>47</v>
      </c>
      <c r="R5" s="20" t="s">
        <v>48</v>
      </c>
      <c r="S5" s="20">
        <v>696</v>
      </c>
      <c r="T5" s="20"/>
      <c r="U5" s="20"/>
      <c r="V5" s="20" t="s">
        <v>49</v>
      </c>
      <c r="W5" s="20">
        <v>8782</v>
      </c>
      <c r="X5" s="20" t="s">
        <v>50</v>
      </c>
      <c r="Y5" s="20" t="s">
        <v>51</v>
      </c>
      <c r="Z5" s="20" t="s">
        <v>52</v>
      </c>
      <c r="AA5" s="27" t="s">
        <v>53</v>
      </c>
      <c r="AB5" s="20" t="s">
        <v>47</v>
      </c>
      <c r="AC5" s="21">
        <v>45742</v>
      </c>
      <c r="AD5" s="21">
        <v>45850</v>
      </c>
      <c r="AE5" s="22">
        <v>45776</v>
      </c>
      <c r="AF5" s="23">
        <f t="shared" si="0"/>
        <v>108</v>
      </c>
      <c r="AG5" s="24" t="s">
        <v>54</v>
      </c>
      <c r="AH5" s="20">
        <v>0</v>
      </c>
      <c r="AI5" s="20"/>
      <c r="AJ5" s="20"/>
      <c r="AK5" s="20">
        <v>8945</v>
      </c>
      <c r="AL5" s="25">
        <v>815</v>
      </c>
      <c r="AM5" s="26">
        <v>9760</v>
      </c>
      <c r="AN5" s="25" t="s">
        <v>55</v>
      </c>
    </row>
    <row r="6" spans="1:40" ht="30" customHeight="1">
      <c r="A6" s="16"/>
      <c r="B6" s="17">
        <v>5</v>
      </c>
      <c r="C6" s="18">
        <v>45850</v>
      </c>
      <c r="D6" s="19" t="s">
        <v>41</v>
      </c>
      <c r="E6" s="19" t="e" vm="2">
        <v>#VALUE!</v>
      </c>
      <c r="F6" s="19" t="s">
        <v>58</v>
      </c>
      <c r="G6" s="19" t="s">
        <v>43</v>
      </c>
      <c r="H6" s="19"/>
      <c r="I6" s="19" t="s">
        <v>63</v>
      </c>
      <c r="J6" s="19" t="s">
        <v>57</v>
      </c>
      <c r="K6" s="20"/>
      <c r="L6" s="20"/>
      <c r="M6" s="20"/>
      <c r="N6" s="20"/>
      <c r="O6" s="20"/>
      <c r="P6" s="20" t="s">
        <v>46</v>
      </c>
      <c r="Q6" s="20" t="s">
        <v>47</v>
      </c>
      <c r="R6" s="20" t="s">
        <v>48</v>
      </c>
      <c r="S6" s="20">
        <v>696</v>
      </c>
      <c r="T6" s="20"/>
      <c r="U6" s="20"/>
      <c r="V6" s="20" t="s">
        <v>49</v>
      </c>
      <c r="W6" s="20">
        <v>5532</v>
      </c>
      <c r="X6" s="20" t="s">
        <v>64</v>
      </c>
      <c r="Y6" s="20" t="s">
        <v>51</v>
      </c>
      <c r="Z6" s="20" t="s">
        <v>52</v>
      </c>
      <c r="AA6" s="20" t="s">
        <v>53</v>
      </c>
      <c r="AB6" s="20" t="s">
        <v>47</v>
      </c>
      <c r="AC6" s="21">
        <v>45677</v>
      </c>
      <c r="AD6" s="21">
        <v>45850</v>
      </c>
      <c r="AE6" s="22">
        <v>45839</v>
      </c>
      <c r="AF6" s="23">
        <f t="shared" si="0"/>
        <v>173</v>
      </c>
      <c r="AG6" s="24" t="s">
        <v>54</v>
      </c>
      <c r="AH6" s="20">
        <v>0</v>
      </c>
      <c r="AI6" s="20"/>
      <c r="AJ6" s="20"/>
      <c r="AK6" s="20">
        <v>8945</v>
      </c>
      <c r="AL6" s="25">
        <v>815</v>
      </c>
      <c r="AM6" s="26">
        <v>9760</v>
      </c>
      <c r="AN6" s="25" t="s">
        <v>55</v>
      </c>
    </row>
    <row r="7" spans="1:40" ht="30" customHeight="1">
      <c r="A7" s="16"/>
      <c r="B7" s="17">
        <v>6</v>
      </c>
      <c r="C7" s="18">
        <v>45850</v>
      </c>
      <c r="D7" s="19" t="s">
        <v>41</v>
      </c>
      <c r="E7" s="19" t="e" vm="4">
        <v>#VALUE!</v>
      </c>
      <c r="F7" s="19" t="s">
        <v>65</v>
      </c>
      <c r="G7" s="19" t="s">
        <v>43</v>
      </c>
      <c r="H7" s="19"/>
      <c r="I7" s="19" t="s">
        <v>66</v>
      </c>
      <c r="J7" s="19" t="s">
        <v>57</v>
      </c>
      <c r="K7" s="20"/>
      <c r="L7" s="20"/>
      <c r="M7" s="20"/>
      <c r="N7" s="20"/>
      <c r="O7" s="20"/>
      <c r="P7" s="20" t="s">
        <v>46</v>
      </c>
      <c r="Q7" s="20" t="s">
        <v>47</v>
      </c>
      <c r="R7" s="20" t="s">
        <v>48</v>
      </c>
      <c r="S7" s="20">
        <v>696</v>
      </c>
      <c r="T7" s="20"/>
      <c r="U7" s="20"/>
      <c r="V7" s="20" t="s">
        <v>49</v>
      </c>
      <c r="W7" s="20">
        <v>12830</v>
      </c>
      <c r="X7" s="20" t="s">
        <v>67</v>
      </c>
      <c r="Y7" s="20" t="s">
        <v>51</v>
      </c>
      <c r="Z7" s="20" t="s">
        <v>52</v>
      </c>
      <c r="AA7" s="20" t="s">
        <v>53</v>
      </c>
      <c r="AB7" s="20" t="s">
        <v>47</v>
      </c>
      <c r="AC7" s="21">
        <v>45702</v>
      </c>
      <c r="AD7" s="21">
        <v>45850</v>
      </c>
      <c r="AE7" s="22">
        <v>45757</v>
      </c>
      <c r="AF7" s="23">
        <f t="shared" si="0"/>
        <v>148</v>
      </c>
      <c r="AG7" s="24" t="s">
        <v>54</v>
      </c>
      <c r="AH7" s="20">
        <v>0</v>
      </c>
      <c r="AI7" s="20"/>
      <c r="AJ7" s="20"/>
      <c r="AK7" s="20">
        <v>8945</v>
      </c>
      <c r="AL7" s="25">
        <v>815</v>
      </c>
      <c r="AM7" s="26">
        <v>9760</v>
      </c>
      <c r="AN7" s="25" t="s">
        <v>55</v>
      </c>
    </row>
    <row r="8" spans="1:40" ht="30" customHeight="1">
      <c r="A8" s="16"/>
      <c r="B8" s="17">
        <v>7</v>
      </c>
      <c r="C8" s="18">
        <v>45868</v>
      </c>
      <c r="D8" s="19" t="s">
        <v>68</v>
      </c>
      <c r="E8" s="19" t="s">
        <v>69</v>
      </c>
      <c r="F8" s="19" t="s">
        <v>70</v>
      </c>
      <c r="G8" s="19" t="s">
        <v>71</v>
      </c>
      <c r="H8" s="19"/>
      <c r="I8" s="19" t="s">
        <v>72</v>
      </c>
      <c r="J8" s="19" t="s">
        <v>45</v>
      </c>
      <c r="K8" s="20" t="s">
        <v>73</v>
      </c>
      <c r="L8" s="20"/>
      <c r="M8" s="20" t="s">
        <v>74</v>
      </c>
      <c r="N8" s="20" t="s">
        <v>75</v>
      </c>
      <c r="O8" s="20" t="s">
        <v>76</v>
      </c>
      <c r="P8" s="20" t="s">
        <v>46</v>
      </c>
      <c r="Q8" s="20" t="s">
        <v>77</v>
      </c>
      <c r="R8" s="20" t="s">
        <v>48</v>
      </c>
      <c r="S8" s="20"/>
      <c r="T8" s="20"/>
      <c r="U8" s="20"/>
      <c r="V8" s="20" t="s">
        <v>78</v>
      </c>
      <c r="W8" s="20">
        <v>4523</v>
      </c>
      <c r="X8" s="20" t="s">
        <v>79</v>
      </c>
      <c r="Y8" s="20" t="s">
        <v>51</v>
      </c>
      <c r="Z8" s="20" t="s">
        <v>52</v>
      </c>
      <c r="AA8" s="20"/>
      <c r="AB8" s="20" t="s">
        <v>80</v>
      </c>
      <c r="AC8" s="21">
        <v>45702</v>
      </c>
      <c r="AD8" s="21">
        <v>45850</v>
      </c>
      <c r="AE8" s="22"/>
      <c r="AF8" s="23">
        <f t="shared" si="0"/>
        <v>148</v>
      </c>
      <c r="AG8" s="24" t="s">
        <v>54</v>
      </c>
      <c r="AH8" s="20">
        <v>0</v>
      </c>
      <c r="AI8" s="20"/>
      <c r="AJ8" s="20"/>
      <c r="AK8" s="20">
        <v>8945</v>
      </c>
      <c r="AL8" s="25">
        <v>815</v>
      </c>
      <c r="AM8" s="26">
        <v>9760</v>
      </c>
      <c r="AN8" s="25" t="s">
        <v>55</v>
      </c>
    </row>
    <row r="9" spans="1:40" s="31" customFormat="1" ht="30" customHeight="1">
      <c r="A9" s="16"/>
      <c r="B9" s="17">
        <v>8</v>
      </c>
      <c r="C9" s="18">
        <v>45875</v>
      </c>
      <c r="D9" s="19" t="s">
        <v>41</v>
      </c>
      <c r="E9" s="19" t="e" vm="5">
        <v>#VALUE!</v>
      </c>
      <c r="F9" s="19" t="s">
        <v>58</v>
      </c>
      <c r="G9" s="19" t="s">
        <v>43</v>
      </c>
      <c r="H9" s="19"/>
      <c r="I9" s="19" t="s">
        <v>81</v>
      </c>
      <c r="J9" s="19" t="s">
        <v>57</v>
      </c>
      <c r="K9" s="20"/>
      <c r="L9" s="20"/>
      <c r="M9" s="20"/>
      <c r="N9" s="20"/>
      <c r="O9" s="20"/>
      <c r="P9" s="20" t="s">
        <v>46</v>
      </c>
      <c r="Q9" s="20" t="s">
        <v>82</v>
      </c>
      <c r="R9" s="20" t="s">
        <v>48</v>
      </c>
      <c r="S9" s="20">
        <v>708</v>
      </c>
      <c r="T9" s="20"/>
      <c r="U9" s="20"/>
      <c r="V9" s="20" t="s">
        <v>83</v>
      </c>
      <c r="W9" s="20">
        <v>8203</v>
      </c>
      <c r="X9" s="20" t="s">
        <v>50</v>
      </c>
      <c r="Y9" s="20" t="s">
        <v>51</v>
      </c>
      <c r="Z9" s="20" t="s">
        <v>52</v>
      </c>
      <c r="AA9" s="20" t="s">
        <v>53</v>
      </c>
      <c r="AB9" s="20" t="s">
        <v>80</v>
      </c>
      <c r="AC9" s="21">
        <v>45707</v>
      </c>
      <c r="AD9" s="21">
        <v>45875</v>
      </c>
      <c r="AE9" s="28">
        <v>45740</v>
      </c>
      <c r="AF9" s="23">
        <f t="shared" si="0"/>
        <v>168</v>
      </c>
      <c r="AG9" s="24" t="s">
        <v>54</v>
      </c>
      <c r="AH9" s="20">
        <v>0</v>
      </c>
      <c r="AI9" s="20"/>
      <c r="AJ9" s="20"/>
      <c r="AK9" s="29">
        <v>8945</v>
      </c>
      <c r="AL9" s="25">
        <v>815</v>
      </c>
      <c r="AM9" s="30">
        <v>9760</v>
      </c>
      <c r="AN9" s="25" t="s">
        <v>55</v>
      </c>
    </row>
    <row r="10" spans="1:40" ht="30" customHeight="1">
      <c r="A10" s="16"/>
      <c r="B10" s="17">
        <v>9</v>
      </c>
      <c r="C10" s="18">
        <v>45887</v>
      </c>
      <c r="D10" s="19" t="s">
        <v>41</v>
      </c>
      <c r="E10" s="19" t="e" vm="4">
        <v>#VALUE!</v>
      </c>
      <c r="F10" s="19" t="s">
        <v>65</v>
      </c>
      <c r="G10" s="19" t="s">
        <v>43</v>
      </c>
      <c r="H10" s="19"/>
      <c r="I10" s="19" t="s">
        <v>84</v>
      </c>
      <c r="J10" s="19" t="s">
        <v>57</v>
      </c>
      <c r="K10" s="20"/>
      <c r="L10" s="20"/>
      <c r="M10" s="20"/>
      <c r="N10" s="20"/>
      <c r="O10" s="20"/>
      <c r="P10" s="20" t="s">
        <v>46</v>
      </c>
      <c r="Q10" s="20" t="s">
        <v>47</v>
      </c>
      <c r="R10" s="20" t="s">
        <v>48</v>
      </c>
      <c r="S10" s="20">
        <v>696</v>
      </c>
      <c r="T10" s="20"/>
      <c r="U10" s="20"/>
      <c r="V10" s="20" t="s">
        <v>49</v>
      </c>
      <c r="W10" s="20">
        <v>4592</v>
      </c>
      <c r="X10" s="20" t="s">
        <v>79</v>
      </c>
      <c r="Y10" s="20" t="s">
        <v>51</v>
      </c>
      <c r="Z10" s="20" t="s">
        <v>52</v>
      </c>
      <c r="AA10" s="20" t="s">
        <v>53</v>
      </c>
      <c r="AB10" s="20" t="s">
        <v>47</v>
      </c>
      <c r="AC10" s="21">
        <v>45701</v>
      </c>
      <c r="AD10" s="21">
        <v>45887</v>
      </c>
      <c r="AE10" s="22">
        <v>45769</v>
      </c>
      <c r="AF10" s="23">
        <f t="shared" si="0"/>
        <v>186</v>
      </c>
      <c r="AG10" s="24" t="s">
        <v>85</v>
      </c>
      <c r="AH10" s="20">
        <v>0</v>
      </c>
      <c r="AI10" s="20"/>
      <c r="AJ10" s="20"/>
      <c r="AK10" s="20">
        <v>8945</v>
      </c>
      <c r="AL10" s="25">
        <v>815</v>
      </c>
      <c r="AM10" s="26">
        <v>9760</v>
      </c>
      <c r="AN10" s="25" t="s">
        <v>55</v>
      </c>
    </row>
    <row r="11" spans="1:40" ht="30" customHeight="1">
      <c r="A11" s="16"/>
      <c r="B11" s="17">
        <v>10</v>
      </c>
      <c r="C11" s="18">
        <v>45887</v>
      </c>
      <c r="D11" s="19" t="s">
        <v>41</v>
      </c>
      <c r="E11" s="19" t="e" vm="6">
        <v>#VALUE!</v>
      </c>
      <c r="F11" s="19" t="s">
        <v>70</v>
      </c>
      <c r="G11" s="19" t="s">
        <v>43</v>
      </c>
      <c r="H11" s="19"/>
      <c r="I11" s="19" t="s">
        <v>86</v>
      </c>
      <c r="J11" s="19" t="s">
        <v>57</v>
      </c>
      <c r="K11" s="20"/>
      <c r="L11" s="20"/>
      <c r="M11" s="20"/>
      <c r="N11" s="20"/>
      <c r="O11" s="20"/>
      <c r="P11" s="20" t="s">
        <v>46</v>
      </c>
      <c r="Q11" s="20" t="s">
        <v>47</v>
      </c>
      <c r="R11" s="20" t="s">
        <v>48</v>
      </c>
      <c r="S11" s="20">
        <v>696</v>
      </c>
      <c r="T11" s="20"/>
      <c r="U11" s="20"/>
      <c r="V11" s="20" t="s">
        <v>49</v>
      </c>
      <c r="W11" s="20">
        <v>7165</v>
      </c>
      <c r="X11" s="20" t="s">
        <v>87</v>
      </c>
      <c r="Y11" s="20" t="s">
        <v>51</v>
      </c>
      <c r="Z11" s="20" t="s">
        <v>52</v>
      </c>
      <c r="AA11" s="20" t="s">
        <v>53</v>
      </c>
      <c r="AB11" s="20" t="s">
        <v>47</v>
      </c>
      <c r="AC11" s="21">
        <v>45699</v>
      </c>
      <c r="AD11" s="21">
        <v>45887</v>
      </c>
      <c r="AE11" s="22">
        <v>45749</v>
      </c>
      <c r="AF11" s="23">
        <f t="shared" si="0"/>
        <v>188</v>
      </c>
      <c r="AG11" s="24" t="s">
        <v>85</v>
      </c>
      <c r="AH11" s="20">
        <v>0</v>
      </c>
      <c r="AI11" s="20"/>
      <c r="AJ11" s="20"/>
      <c r="AK11" s="20">
        <v>8945</v>
      </c>
      <c r="AL11" s="25">
        <v>815</v>
      </c>
      <c r="AM11" s="26">
        <v>9760</v>
      </c>
      <c r="AN11" s="25" t="s">
        <v>55</v>
      </c>
    </row>
    <row r="12" spans="1:40" ht="30" customHeight="1">
      <c r="A12" s="16"/>
      <c r="B12" s="17">
        <v>11</v>
      </c>
      <c r="C12" s="18">
        <v>45882</v>
      </c>
      <c r="D12" s="19" t="s">
        <v>41</v>
      </c>
      <c r="E12" s="19" t="e" vm="7">
        <v>#VALUE!</v>
      </c>
      <c r="F12" s="19" t="s">
        <v>88</v>
      </c>
      <c r="G12" s="19" t="s">
        <v>43</v>
      </c>
      <c r="H12" s="19"/>
      <c r="I12" s="19" t="s">
        <v>89</v>
      </c>
      <c r="J12" s="19" t="s">
        <v>57</v>
      </c>
      <c r="K12" s="20"/>
      <c r="L12" s="20"/>
      <c r="M12" s="20"/>
      <c r="N12" s="20"/>
      <c r="O12" s="20"/>
      <c r="P12" s="20" t="s">
        <v>46</v>
      </c>
      <c r="Q12" s="20" t="s">
        <v>47</v>
      </c>
      <c r="R12" s="20" t="s">
        <v>48</v>
      </c>
      <c r="S12" s="20">
        <v>696</v>
      </c>
      <c r="T12" s="20"/>
      <c r="U12" s="20"/>
      <c r="V12" s="20" t="s">
        <v>49</v>
      </c>
      <c r="W12" s="20">
        <v>797</v>
      </c>
      <c r="X12" s="20" t="s">
        <v>90</v>
      </c>
      <c r="Y12" s="20" t="s">
        <v>51</v>
      </c>
      <c r="Z12" s="20" t="s">
        <v>52</v>
      </c>
      <c r="AA12" s="20" t="s">
        <v>53</v>
      </c>
      <c r="AB12" s="20" t="s">
        <v>47</v>
      </c>
      <c r="AC12" s="21">
        <v>45691</v>
      </c>
      <c r="AD12" s="21">
        <v>45882</v>
      </c>
      <c r="AE12" s="22">
        <v>45848</v>
      </c>
      <c r="AF12" s="23">
        <f t="shared" si="0"/>
        <v>191</v>
      </c>
      <c r="AG12" s="24" t="s">
        <v>85</v>
      </c>
      <c r="AH12" s="20">
        <v>0</v>
      </c>
      <c r="AI12" s="20"/>
      <c r="AJ12" s="20"/>
      <c r="AK12" s="20">
        <v>8945</v>
      </c>
      <c r="AL12" s="25">
        <v>815</v>
      </c>
      <c r="AM12" s="26">
        <v>9760</v>
      </c>
      <c r="AN12" s="25" t="s">
        <v>55</v>
      </c>
    </row>
    <row r="13" spans="1:40" ht="30" customHeight="1">
      <c r="A13" s="16"/>
      <c r="B13" s="17">
        <v>12</v>
      </c>
      <c r="C13" s="18">
        <v>45880</v>
      </c>
      <c r="D13" s="19" t="s">
        <v>41</v>
      </c>
      <c r="E13" s="19" t="e" vm="8">
        <v>#VALUE!</v>
      </c>
      <c r="F13" s="19" t="s">
        <v>58</v>
      </c>
      <c r="G13" s="19" t="s">
        <v>43</v>
      </c>
      <c r="H13" s="19"/>
      <c r="I13" s="19" t="s">
        <v>91</v>
      </c>
      <c r="J13" s="19" t="s">
        <v>57</v>
      </c>
      <c r="K13" s="20"/>
      <c r="L13" s="20"/>
      <c r="M13" s="20"/>
      <c r="N13" s="20"/>
      <c r="O13" s="20"/>
      <c r="P13" s="20" t="s">
        <v>46</v>
      </c>
      <c r="Q13" s="20" t="s">
        <v>47</v>
      </c>
      <c r="R13" s="20" t="s">
        <v>48</v>
      </c>
      <c r="S13" s="20">
        <v>696</v>
      </c>
      <c r="T13" s="20"/>
      <c r="U13" s="20"/>
      <c r="V13" s="20" t="s">
        <v>49</v>
      </c>
      <c r="W13" s="20">
        <v>13896</v>
      </c>
      <c r="X13" s="20" t="s">
        <v>67</v>
      </c>
      <c r="Y13" s="20" t="s">
        <v>51</v>
      </c>
      <c r="Z13" s="20" t="s">
        <v>52</v>
      </c>
      <c r="AA13" s="20" t="s">
        <v>53</v>
      </c>
      <c r="AB13" s="20" t="s">
        <v>47</v>
      </c>
      <c r="AC13" s="21">
        <v>45695</v>
      </c>
      <c r="AD13" s="21">
        <v>45880</v>
      </c>
      <c r="AE13" s="22">
        <v>45743</v>
      </c>
      <c r="AF13" s="23">
        <f t="shared" si="0"/>
        <v>185</v>
      </c>
      <c r="AG13" s="24" t="s">
        <v>85</v>
      </c>
      <c r="AH13" s="20">
        <v>0</v>
      </c>
      <c r="AI13" s="20"/>
      <c r="AJ13" s="20"/>
      <c r="AK13" s="20">
        <v>8945</v>
      </c>
      <c r="AL13" s="25">
        <v>815</v>
      </c>
      <c r="AM13" s="26">
        <v>9760</v>
      </c>
      <c r="AN13" s="25" t="s">
        <v>55</v>
      </c>
    </row>
    <row r="14" spans="1:40" ht="30" customHeight="1">
      <c r="A14" s="16"/>
      <c r="B14" s="17">
        <v>13</v>
      </c>
      <c r="C14" s="18">
        <v>45877</v>
      </c>
      <c r="D14" s="19" t="s">
        <v>41</v>
      </c>
      <c r="E14" s="19" t="e" vm="9">
        <v>#VALUE!</v>
      </c>
      <c r="F14" s="19" t="s">
        <v>92</v>
      </c>
      <c r="G14" s="19" t="s">
        <v>43</v>
      </c>
      <c r="H14" s="19"/>
      <c r="I14" s="19" t="s">
        <v>93</v>
      </c>
      <c r="J14" s="19" t="s">
        <v>57</v>
      </c>
      <c r="K14" s="20"/>
      <c r="L14" s="20"/>
      <c r="M14" s="20"/>
      <c r="N14" s="20"/>
      <c r="O14" s="20"/>
      <c r="P14" s="20" t="s">
        <v>46</v>
      </c>
      <c r="Q14" s="20" t="s">
        <v>47</v>
      </c>
      <c r="R14" s="20" t="s">
        <v>48</v>
      </c>
      <c r="S14" s="20">
        <v>696</v>
      </c>
      <c r="T14" s="20"/>
      <c r="U14" s="20"/>
      <c r="V14" s="20" t="s">
        <v>49</v>
      </c>
      <c r="W14" s="20">
        <v>3035</v>
      </c>
      <c r="X14" s="20" t="s">
        <v>94</v>
      </c>
      <c r="Y14" s="20" t="s">
        <v>51</v>
      </c>
      <c r="Z14" s="20" t="s">
        <v>52</v>
      </c>
      <c r="AA14" s="20" t="s">
        <v>53</v>
      </c>
      <c r="AB14" s="20" t="s">
        <v>47</v>
      </c>
      <c r="AC14" s="21">
        <v>45775</v>
      </c>
      <c r="AD14" s="21">
        <v>45877</v>
      </c>
      <c r="AE14" s="22">
        <v>45792</v>
      </c>
      <c r="AF14" s="23">
        <f t="shared" si="0"/>
        <v>102</v>
      </c>
      <c r="AG14" s="24" t="s">
        <v>54</v>
      </c>
      <c r="AH14" s="20">
        <v>0</v>
      </c>
      <c r="AI14" s="20"/>
      <c r="AJ14" s="20"/>
      <c r="AK14" s="20">
        <v>8945</v>
      </c>
      <c r="AL14" s="25">
        <v>815</v>
      </c>
      <c r="AM14" s="26">
        <v>9760</v>
      </c>
      <c r="AN14" s="25" t="s">
        <v>55</v>
      </c>
    </row>
    <row r="15" spans="1:40" ht="30" customHeight="1">
      <c r="A15" s="16"/>
      <c r="B15" s="17">
        <v>14</v>
      </c>
      <c r="C15" s="18">
        <v>45873</v>
      </c>
      <c r="D15" s="19" t="s">
        <v>41</v>
      </c>
      <c r="E15" s="19" t="e" vm="1">
        <v>#VALUE!</v>
      </c>
      <c r="F15" s="19" t="s">
        <v>42</v>
      </c>
      <c r="G15" s="19" t="s">
        <v>43</v>
      </c>
      <c r="H15" s="19"/>
      <c r="I15" s="19" t="s">
        <v>95</v>
      </c>
      <c r="J15" s="19" t="s">
        <v>57</v>
      </c>
      <c r="K15" s="20"/>
      <c r="L15" s="20"/>
      <c r="M15" s="20"/>
      <c r="N15" s="20"/>
      <c r="O15" s="20"/>
      <c r="P15" s="20" t="s">
        <v>46</v>
      </c>
      <c r="Q15" s="20" t="s">
        <v>47</v>
      </c>
      <c r="R15" s="20" t="s">
        <v>48</v>
      </c>
      <c r="S15" s="20">
        <v>696</v>
      </c>
      <c r="T15" s="20"/>
      <c r="U15" s="20"/>
      <c r="V15" s="20" t="s">
        <v>49</v>
      </c>
      <c r="W15" s="20">
        <v>2031</v>
      </c>
      <c r="X15" s="20" t="s">
        <v>60</v>
      </c>
      <c r="Y15" s="20" t="s">
        <v>51</v>
      </c>
      <c r="Z15" s="20" t="s">
        <v>52</v>
      </c>
      <c r="AA15" s="20" t="s">
        <v>53</v>
      </c>
      <c r="AB15" s="20" t="s">
        <v>47</v>
      </c>
      <c r="AC15" s="21">
        <v>45772</v>
      </c>
      <c r="AD15" s="21">
        <v>45873</v>
      </c>
      <c r="AE15" s="22">
        <v>45820</v>
      </c>
      <c r="AF15" s="23">
        <f t="shared" si="0"/>
        <v>101</v>
      </c>
      <c r="AG15" s="24" t="s">
        <v>54</v>
      </c>
      <c r="AH15" s="20">
        <v>0</v>
      </c>
      <c r="AI15" s="20"/>
      <c r="AJ15" s="20"/>
      <c r="AK15" s="20">
        <v>8945</v>
      </c>
      <c r="AL15" s="25">
        <v>815</v>
      </c>
      <c r="AM15" s="26">
        <v>9760</v>
      </c>
      <c r="AN15" s="25" t="s">
        <v>55</v>
      </c>
    </row>
    <row r="16" spans="1:40" ht="30" customHeight="1">
      <c r="A16" s="16"/>
      <c r="B16" s="17">
        <v>15</v>
      </c>
      <c r="C16" s="18">
        <v>45873</v>
      </c>
      <c r="D16" s="19" t="s">
        <v>41</v>
      </c>
      <c r="E16" s="19" t="e" vm="2">
        <v>#VALUE!</v>
      </c>
      <c r="F16" s="19" t="s">
        <v>58</v>
      </c>
      <c r="G16" s="19" t="s">
        <v>43</v>
      </c>
      <c r="H16" s="19"/>
      <c r="I16" s="19" t="s">
        <v>96</v>
      </c>
      <c r="J16" s="19" t="s">
        <v>45</v>
      </c>
      <c r="K16" s="20"/>
      <c r="L16" s="20"/>
      <c r="M16" s="20"/>
      <c r="N16" s="20"/>
      <c r="O16" s="20"/>
      <c r="P16" s="20" t="s">
        <v>46</v>
      </c>
      <c r="Q16" s="20" t="s">
        <v>47</v>
      </c>
      <c r="R16" s="20" t="s">
        <v>48</v>
      </c>
      <c r="S16" s="20">
        <v>696</v>
      </c>
      <c r="T16" s="20"/>
      <c r="U16" s="20"/>
      <c r="V16" s="20" t="s">
        <v>49</v>
      </c>
      <c r="W16" s="20">
        <v>6094</v>
      </c>
      <c r="X16" s="20" t="s">
        <v>97</v>
      </c>
      <c r="Y16" s="20" t="s">
        <v>51</v>
      </c>
      <c r="Z16" s="20" t="s">
        <v>52</v>
      </c>
      <c r="AA16" s="20" t="s">
        <v>53</v>
      </c>
      <c r="AB16" s="20" t="s">
        <v>47</v>
      </c>
      <c r="AC16" s="21">
        <v>45735</v>
      </c>
      <c r="AD16" s="21">
        <v>45873</v>
      </c>
      <c r="AE16" s="22">
        <v>45755</v>
      </c>
      <c r="AF16" s="23">
        <f t="shared" si="0"/>
        <v>138</v>
      </c>
      <c r="AG16" s="24" t="s">
        <v>54</v>
      </c>
      <c r="AH16" s="20">
        <v>0</v>
      </c>
      <c r="AI16" s="20"/>
      <c r="AJ16" s="20"/>
      <c r="AK16" s="20">
        <v>8945</v>
      </c>
      <c r="AL16" s="25">
        <v>815</v>
      </c>
      <c r="AM16" s="26">
        <v>9760</v>
      </c>
      <c r="AN16" s="25" t="s">
        <v>55</v>
      </c>
    </row>
    <row r="17" spans="1:40" ht="30" customHeight="1">
      <c r="A17" s="16"/>
      <c r="B17" s="17">
        <v>16</v>
      </c>
      <c r="C17" s="18">
        <v>45867</v>
      </c>
      <c r="D17" s="19" t="s">
        <v>41</v>
      </c>
      <c r="E17" s="19" t="e" vm="10">
        <v>#VALUE!</v>
      </c>
      <c r="F17" s="19" t="s">
        <v>98</v>
      </c>
      <c r="G17" s="19" t="s">
        <v>43</v>
      </c>
      <c r="H17" s="19"/>
      <c r="I17" s="19" t="s">
        <v>99</v>
      </c>
      <c r="J17" s="19" t="s">
        <v>45</v>
      </c>
      <c r="K17" s="20"/>
      <c r="L17" s="20"/>
      <c r="M17" s="20"/>
      <c r="N17" s="20"/>
      <c r="O17" s="20"/>
      <c r="P17" s="20" t="s">
        <v>46</v>
      </c>
      <c r="Q17" s="20" t="s">
        <v>47</v>
      </c>
      <c r="R17" s="20" t="s">
        <v>48</v>
      </c>
      <c r="S17" s="20">
        <v>696</v>
      </c>
      <c r="T17" s="20"/>
      <c r="U17" s="20"/>
      <c r="V17" s="20" t="s">
        <v>49</v>
      </c>
      <c r="W17" s="20">
        <v>7186</v>
      </c>
      <c r="X17" s="20" t="s">
        <v>87</v>
      </c>
      <c r="Y17" s="20" t="s">
        <v>51</v>
      </c>
      <c r="Z17" s="20" t="s">
        <v>52</v>
      </c>
      <c r="AA17" s="20" t="s">
        <v>53</v>
      </c>
      <c r="AB17" s="20" t="s">
        <v>47</v>
      </c>
      <c r="AC17" s="21">
        <v>45733</v>
      </c>
      <c r="AD17" s="21">
        <v>45867</v>
      </c>
      <c r="AE17" s="22">
        <v>45777</v>
      </c>
      <c r="AF17" s="23">
        <f t="shared" si="0"/>
        <v>134</v>
      </c>
      <c r="AG17" s="24" t="s">
        <v>54</v>
      </c>
      <c r="AH17" s="20">
        <v>0</v>
      </c>
      <c r="AI17" s="20"/>
      <c r="AJ17" s="20"/>
      <c r="AK17" s="20">
        <v>8945</v>
      </c>
      <c r="AL17" s="25">
        <v>815</v>
      </c>
      <c r="AM17" s="26">
        <v>9760</v>
      </c>
      <c r="AN17" s="25" t="s">
        <v>55</v>
      </c>
    </row>
    <row r="18" spans="1:40" ht="30" customHeight="1">
      <c r="A18" s="16"/>
      <c r="B18" s="17">
        <v>17</v>
      </c>
      <c r="C18" s="18">
        <v>45867</v>
      </c>
      <c r="D18" s="19" t="s">
        <v>41</v>
      </c>
      <c r="E18" s="19" t="e" vm="7">
        <v>#VALUE!</v>
      </c>
      <c r="F18" s="19" t="s">
        <v>88</v>
      </c>
      <c r="G18" s="19" t="s">
        <v>43</v>
      </c>
      <c r="H18" s="19"/>
      <c r="I18" s="19" t="s">
        <v>100</v>
      </c>
      <c r="J18" s="19" t="s">
        <v>45</v>
      </c>
      <c r="K18" s="20"/>
      <c r="L18" s="20"/>
      <c r="M18" s="20"/>
      <c r="N18" s="20"/>
      <c r="O18" s="20"/>
      <c r="P18" s="20" t="s">
        <v>46</v>
      </c>
      <c r="Q18" s="20" t="s">
        <v>47</v>
      </c>
      <c r="R18" s="20" t="s">
        <v>48</v>
      </c>
      <c r="S18" s="20">
        <v>696</v>
      </c>
      <c r="T18" s="20"/>
      <c r="U18" s="20"/>
      <c r="V18" s="20" t="s">
        <v>49</v>
      </c>
      <c r="W18" s="20">
        <v>4635</v>
      </c>
      <c r="X18" s="20" t="s">
        <v>79</v>
      </c>
      <c r="Y18" s="20" t="s">
        <v>51</v>
      </c>
      <c r="Z18" s="20" t="s">
        <v>52</v>
      </c>
      <c r="AA18" s="20" t="s">
        <v>53</v>
      </c>
      <c r="AB18" s="20" t="s">
        <v>47</v>
      </c>
      <c r="AC18" s="21">
        <v>45813</v>
      </c>
      <c r="AD18" s="21">
        <v>45867</v>
      </c>
      <c r="AE18" s="22">
        <v>45834</v>
      </c>
      <c r="AF18" s="23">
        <f t="shared" si="0"/>
        <v>54</v>
      </c>
      <c r="AG18" s="24" t="s">
        <v>101</v>
      </c>
      <c r="AH18" s="20">
        <v>0</v>
      </c>
      <c r="AI18" s="20"/>
      <c r="AJ18" s="20"/>
      <c r="AK18" s="20">
        <v>8945</v>
      </c>
      <c r="AL18" s="25">
        <v>815</v>
      </c>
      <c r="AM18" s="26">
        <v>9760</v>
      </c>
      <c r="AN18" s="25" t="s">
        <v>55</v>
      </c>
    </row>
    <row r="19" spans="1:40" ht="30" customHeight="1">
      <c r="A19" s="16"/>
      <c r="B19" s="17">
        <v>18</v>
      </c>
      <c r="C19" s="18">
        <v>45887</v>
      </c>
      <c r="D19" s="19" t="s">
        <v>41</v>
      </c>
      <c r="E19" s="19" t="e" vm="8">
        <v>#VALUE!</v>
      </c>
      <c r="F19" s="19" t="s">
        <v>58</v>
      </c>
      <c r="G19" s="19" t="s">
        <v>43</v>
      </c>
      <c r="H19" s="19"/>
      <c r="I19" s="19" t="s">
        <v>102</v>
      </c>
      <c r="J19" s="19" t="s">
        <v>57</v>
      </c>
      <c r="K19" s="20"/>
      <c r="L19" s="20"/>
      <c r="M19" s="20"/>
      <c r="N19" s="20"/>
      <c r="O19" s="20"/>
      <c r="P19" s="20" t="s">
        <v>46</v>
      </c>
      <c r="Q19" s="20" t="s">
        <v>47</v>
      </c>
      <c r="R19" s="20" t="s">
        <v>48</v>
      </c>
      <c r="S19" s="20">
        <v>696</v>
      </c>
      <c r="T19" s="20"/>
      <c r="U19" s="20"/>
      <c r="V19" s="20" t="s">
        <v>49</v>
      </c>
      <c r="W19" s="20">
        <v>4065</v>
      </c>
      <c r="X19" s="20" t="s">
        <v>79</v>
      </c>
      <c r="Y19" s="20" t="s">
        <v>51</v>
      </c>
      <c r="Z19" s="20" t="s">
        <v>52</v>
      </c>
      <c r="AA19" s="20" t="s">
        <v>53</v>
      </c>
      <c r="AB19" s="20" t="s">
        <v>47</v>
      </c>
      <c r="AC19" s="21">
        <v>45685</v>
      </c>
      <c r="AD19" s="21">
        <v>45887</v>
      </c>
      <c r="AE19" s="22">
        <v>45756</v>
      </c>
      <c r="AF19" s="23">
        <f t="shared" si="0"/>
        <v>202</v>
      </c>
      <c r="AG19" s="24" t="s">
        <v>85</v>
      </c>
      <c r="AH19" s="20">
        <v>0</v>
      </c>
      <c r="AI19" s="20"/>
      <c r="AJ19" s="20"/>
      <c r="AK19" s="20">
        <v>8945</v>
      </c>
      <c r="AL19" s="25">
        <v>815</v>
      </c>
      <c r="AM19" s="26">
        <v>9760</v>
      </c>
      <c r="AN19" s="25" t="s">
        <v>55</v>
      </c>
    </row>
    <row r="20" spans="1:40" ht="30" customHeight="1">
      <c r="A20" s="16"/>
      <c r="B20" s="17">
        <v>19</v>
      </c>
      <c r="C20" s="18">
        <v>45888</v>
      </c>
      <c r="D20" s="19" t="s">
        <v>41</v>
      </c>
      <c r="E20" s="19" t="e" vm="4">
        <v>#VALUE!</v>
      </c>
      <c r="F20" s="19" t="s">
        <v>65</v>
      </c>
      <c r="G20" s="19" t="s">
        <v>43</v>
      </c>
      <c r="H20" s="19"/>
      <c r="I20" s="19" t="s">
        <v>103</v>
      </c>
      <c r="J20" s="19" t="s">
        <v>57</v>
      </c>
      <c r="K20" s="20"/>
      <c r="L20" s="20"/>
      <c r="M20" s="20"/>
      <c r="N20" s="20"/>
      <c r="O20" s="20"/>
      <c r="P20" s="20" t="s">
        <v>46</v>
      </c>
      <c r="Q20" s="20" t="s">
        <v>47</v>
      </c>
      <c r="R20" s="20" t="s">
        <v>48</v>
      </c>
      <c r="S20" s="20">
        <v>696</v>
      </c>
      <c r="T20" s="20"/>
      <c r="U20" s="20"/>
      <c r="V20" s="20" t="s">
        <v>49</v>
      </c>
      <c r="W20" s="20">
        <v>4136</v>
      </c>
      <c r="X20" s="20" t="s">
        <v>79</v>
      </c>
      <c r="Y20" s="20" t="s">
        <v>51</v>
      </c>
      <c r="Z20" s="20" t="s">
        <v>52</v>
      </c>
      <c r="AA20" s="20" t="s">
        <v>53</v>
      </c>
      <c r="AB20" s="20" t="s">
        <v>47</v>
      </c>
      <c r="AC20" s="21">
        <v>45757</v>
      </c>
      <c r="AD20" s="21">
        <v>45888</v>
      </c>
      <c r="AE20" s="22">
        <v>45780</v>
      </c>
      <c r="AF20" s="23">
        <f t="shared" si="0"/>
        <v>131</v>
      </c>
      <c r="AG20" s="24" t="s">
        <v>54</v>
      </c>
      <c r="AH20" s="20">
        <v>0</v>
      </c>
      <c r="AI20" s="20"/>
      <c r="AJ20" s="20"/>
      <c r="AK20" s="20">
        <v>8945</v>
      </c>
      <c r="AL20" s="25">
        <v>815</v>
      </c>
      <c r="AM20" s="26">
        <v>9760</v>
      </c>
      <c r="AN20" s="25" t="s">
        <v>55</v>
      </c>
    </row>
    <row r="21" spans="1:40" ht="30" customHeight="1">
      <c r="A21" s="16"/>
      <c r="B21" s="17">
        <v>20</v>
      </c>
      <c r="C21" s="18">
        <v>45888</v>
      </c>
      <c r="D21" s="19" t="s">
        <v>41</v>
      </c>
      <c r="E21" s="19" t="e" vm="11">
        <v>#VALUE!</v>
      </c>
      <c r="F21" s="19" t="s">
        <v>92</v>
      </c>
      <c r="G21" s="19" t="s">
        <v>43</v>
      </c>
      <c r="H21" s="19"/>
      <c r="I21" s="19" t="s">
        <v>104</v>
      </c>
      <c r="J21" s="19" t="s">
        <v>57</v>
      </c>
      <c r="K21" s="20"/>
      <c r="L21" s="20"/>
      <c r="M21" s="20"/>
      <c r="N21" s="20"/>
      <c r="O21" s="20"/>
      <c r="P21" s="20" t="s">
        <v>46</v>
      </c>
      <c r="Q21" s="20" t="s">
        <v>47</v>
      </c>
      <c r="R21" s="20" t="s">
        <v>48</v>
      </c>
      <c r="S21" s="20">
        <v>696</v>
      </c>
      <c r="T21" s="20"/>
      <c r="U21" s="20"/>
      <c r="V21" s="20" t="s">
        <v>49</v>
      </c>
      <c r="W21" s="20">
        <v>3251</v>
      </c>
      <c r="X21" s="20" t="s">
        <v>94</v>
      </c>
      <c r="Y21" s="20" t="s">
        <v>51</v>
      </c>
      <c r="Z21" s="20" t="s">
        <v>52</v>
      </c>
      <c r="AA21" s="20" t="s">
        <v>53</v>
      </c>
      <c r="AB21" s="20" t="s">
        <v>47</v>
      </c>
      <c r="AC21" s="21">
        <v>45779</v>
      </c>
      <c r="AD21" s="21">
        <v>45888</v>
      </c>
      <c r="AE21" s="22">
        <v>45845</v>
      </c>
      <c r="AF21" s="23">
        <f t="shared" si="0"/>
        <v>109</v>
      </c>
      <c r="AG21" s="24" t="s">
        <v>54</v>
      </c>
      <c r="AH21" s="20">
        <v>0</v>
      </c>
      <c r="AI21" s="20"/>
      <c r="AJ21" s="20"/>
      <c r="AK21" s="20">
        <v>8945</v>
      </c>
      <c r="AL21" s="25">
        <v>815</v>
      </c>
      <c r="AM21" s="26">
        <v>9760</v>
      </c>
      <c r="AN21" s="25" t="s">
        <v>55</v>
      </c>
    </row>
    <row r="22" spans="1:40" ht="30" customHeight="1">
      <c r="A22" s="16"/>
      <c r="B22" s="17">
        <v>21</v>
      </c>
      <c r="C22" s="18">
        <v>45888</v>
      </c>
      <c r="D22" s="19" t="s">
        <v>41</v>
      </c>
      <c r="E22" s="19" t="e" vm="12">
        <v>#VALUE!</v>
      </c>
      <c r="F22" s="19" t="s">
        <v>105</v>
      </c>
      <c r="G22" s="19" t="s">
        <v>43</v>
      </c>
      <c r="H22" s="19"/>
      <c r="I22" s="19" t="s">
        <v>106</v>
      </c>
      <c r="J22" s="19" t="s">
        <v>57</v>
      </c>
      <c r="K22" s="20"/>
      <c r="L22" s="20"/>
      <c r="M22" s="20"/>
      <c r="N22" s="20"/>
      <c r="O22" s="20"/>
      <c r="P22" s="20" t="s">
        <v>46</v>
      </c>
      <c r="Q22" s="20" t="s">
        <v>47</v>
      </c>
      <c r="R22" s="20" t="s">
        <v>48</v>
      </c>
      <c r="S22" s="20">
        <v>696</v>
      </c>
      <c r="T22" s="20"/>
      <c r="U22" s="20"/>
      <c r="V22" s="20" t="s">
        <v>49</v>
      </c>
      <c r="W22" s="20">
        <v>19580</v>
      </c>
      <c r="X22" s="20" t="s">
        <v>107</v>
      </c>
      <c r="Y22" s="20" t="s">
        <v>51</v>
      </c>
      <c r="Z22" s="20" t="s">
        <v>52</v>
      </c>
      <c r="AA22" s="20" t="s">
        <v>53</v>
      </c>
      <c r="AB22" s="20" t="s">
        <v>47</v>
      </c>
      <c r="AC22" s="21">
        <v>45706</v>
      </c>
      <c r="AD22" s="21">
        <v>45888</v>
      </c>
      <c r="AE22" s="22">
        <v>45775</v>
      </c>
      <c r="AF22" s="23">
        <f t="shared" si="0"/>
        <v>182</v>
      </c>
      <c r="AG22" s="24" t="s">
        <v>85</v>
      </c>
      <c r="AH22" s="20">
        <v>0</v>
      </c>
      <c r="AI22" s="20"/>
      <c r="AJ22" s="20"/>
      <c r="AK22" s="20">
        <v>8945</v>
      </c>
      <c r="AL22" s="25">
        <v>815</v>
      </c>
      <c r="AM22" s="26">
        <v>9760</v>
      </c>
      <c r="AN22" s="25" t="s">
        <v>55</v>
      </c>
    </row>
    <row r="23" spans="1:40" ht="30" customHeight="1">
      <c r="A23" s="16"/>
      <c r="B23" s="17">
        <v>22</v>
      </c>
      <c r="C23" s="18">
        <v>45892</v>
      </c>
      <c r="D23" s="19" t="s">
        <v>41</v>
      </c>
      <c r="E23" s="19" t="e" vm="13">
        <v>#VALUE!</v>
      </c>
      <c r="F23" s="19" t="s">
        <v>61</v>
      </c>
      <c r="G23" s="19" t="s">
        <v>43</v>
      </c>
      <c r="H23" s="19"/>
      <c r="I23" s="19" t="s">
        <v>108</v>
      </c>
      <c r="J23" s="19" t="s">
        <v>57</v>
      </c>
      <c r="K23" s="20"/>
      <c r="L23" s="20"/>
      <c r="M23" s="20"/>
      <c r="N23" s="20"/>
      <c r="O23" s="20"/>
      <c r="P23" s="20" t="s">
        <v>46</v>
      </c>
      <c r="Q23" s="20" t="s">
        <v>47</v>
      </c>
      <c r="R23" s="20" t="s">
        <v>48</v>
      </c>
      <c r="S23" s="20">
        <v>696</v>
      </c>
      <c r="T23" s="20"/>
      <c r="U23" s="20"/>
      <c r="V23" s="20" t="s">
        <v>49</v>
      </c>
      <c r="W23" s="20">
        <v>11401</v>
      </c>
      <c r="X23" s="20" t="s">
        <v>67</v>
      </c>
      <c r="Y23" s="20" t="s">
        <v>51</v>
      </c>
      <c r="Z23" s="20" t="s">
        <v>52</v>
      </c>
      <c r="AA23" s="20" t="s">
        <v>53</v>
      </c>
      <c r="AB23" s="20" t="s">
        <v>47</v>
      </c>
      <c r="AC23" s="21">
        <v>45789</v>
      </c>
      <c r="AD23" s="21">
        <v>45892</v>
      </c>
      <c r="AE23" s="22">
        <v>45813</v>
      </c>
      <c r="AF23" s="23">
        <f t="shared" si="0"/>
        <v>103</v>
      </c>
      <c r="AG23" s="24" t="s">
        <v>54</v>
      </c>
      <c r="AH23" s="20">
        <v>0</v>
      </c>
      <c r="AI23" s="20"/>
      <c r="AJ23" s="20"/>
      <c r="AK23" s="20">
        <v>8945</v>
      </c>
      <c r="AL23" s="25">
        <v>815</v>
      </c>
      <c r="AM23" s="26">
        <v>9760</v>
      </c>
      <c r="AN23" s="25" t="s">
        <v>55</v>
      </c>
    </row>
    <row r="24" spans="1:40" ht="30" customHeight="1">
      <c r="A24" s="16"/>
      <c r="B24" s="17">
        <v>23</v>
      </c>
      <c r="C24" s="18">
        <v>45898</v>
      </c>
      <c r="D24" s="19" t="s">
        <v>41</v>
      </c>
      <c r="E24" s="19" t="e" vm="14">
        <v>#VALUE!</v>
      </c>
      <c r="F24" s="19" t="s">
        <v>88</v>
      </c>
      <c r="G24" s="19" t="s">
        <v>43</v>
      </c>
      <c r="H24" s="19"/>
      <c r="I24" s="19" t="s">
        <v>109</v>
      </c>
      <c r="J24" s="19" t="s">
        <v>45</v>
      </c>
      <c r="K24" s="20"/>
      <c r="L24" s="20"/>
      <c r="M24" s="20"/>
      <c r="N24" s="20"/>
      <c r="O24" s="20"/>
      <c r="P24" s="20" t="s">
        <v>46</v>
      </c>
      <c r="Q24" s="20" t="s">
        <v>47</v>
      </c>
      <c r="R24" s="20" t="s">
        <v>48</v>
      </c>
      <c r="S24" s="20">
        <v>696</v>
      </c>
      <c r="T24" s="20"/>
      <c r="U24" s="20"/>
      <c r="V24" s="20" t="s">
        <v>49</v>
      </c>
      <c r="W24" s="20">
        <v>449</v>
      </c>
      <c r="X24" s="20" t="s">
        <v>90</v>
      </c>
      <c r="Y24" s="20" t="s">
        <v>51</v>
      </c>
      <c r="Z24" s="20" t="s">
        <v>52</v>
      </c>
      <c r="AA24" s="20" t="s">
        <v>53</v>
      </c>
      <c r="AB24" s="20" t="s">
        <v>47</v>
      </c>
      <c r="AC24" s="21">
        <v>45831</v>
      </c>
      <c r="AD24" s="21">
        <v>45898</v>
      </c>
      <c r="AE24" s="22">
        <v>45889</v>
      </c>
      <c r="AF24" s="23">
        <f t="shared" si="0"/>
        <v>67</v>
      </c>
      <c r="AG24" s="24" t="s">
        <v>101</v>
      </c>
      <c r="AH24" s="20">
        <v>0</v>
      </c>
      <c r="AI24" s="20"/>
      <c r="AJ24" s="20"/>
      <c r="AK24" s="20">
        <v>8945</v>
      </c>
      <c r="AL24" s="25">
        <v>815</v>
      </c>
      <c r="AM24" s="26">
        <v>9760</v>
      </c>
      <c r="AN24" s="25" t="s">
        <v>55</v>
      </c>
    </row>
    <row r="25" spans="1:40" ht="30" customHeight="1">
      <c r="A25" s="16"/>
      <c r="B25" s="17">
        <v>24</v>
      </c>
      <c r="C25" s="18">
        <v>45903</v>
      </c>
      <c r="D25" s="19" t="s">
        <v>41</v>
      </c>
      <c r="E25" s="19" t="e" vm="10">
        <v>#VALUE!</v>
      </c>
      <c r="F25" s="19" t="s">
        <v>98</v>
      </c>
      <c r="G25" s="19" t="s">
        <v>43</v>
      </c>
      <c r="H25" s="19"/>
      <c r="I25" s="19" t="s">
        <v>110</v>
      </c>
      <c r="J25" s="19" t="s">
        <v>45</v>
      </c>
      <c r="K25" s="20"/>
      <c r="L25" s="20"/>
      <c r="M25" s="20"/>
      <c r="N25" s="20"/>
      <c r="O25" s="20"/>
      <c r="P25" s="20" t="s">
        <v>46</v>
      </c>
      <c r="Q25" s="20" t="s">
        <v>47</v>
      </c>
      <c r="R25" s="20" t="s">
        <v>48</v>
      </c>
      <c r="S25" s="20">
        <v>696</v>
      </c>
      <c r="T25" s="20"/>
      <c r="U25" s="20"/>
      <c r="V25" s="20" t="s">
        <v>49</v>
      </c>
      <c r="W25" s="20">
        <v>11159</v>
      </c>
      <c r="X25" s="20" t="s">
        <v>67</v>
      </c>
      <c r="Y25" s="20" t="s">
        <v>51</v>
      </c>
      <c r="Z25" s="20" t="s">
        <v>52</v>
      </c>
      <c r="AA25" s="20" t="s">
        <v>53</v>
      </c>
      <c r="AB25" s="20" t="s">
        <v>47</v>
      </c>
      <c r="AC25" s="21">
        <v>45727</v>
      </c>
      <c r="AD25" s="21">
        <v>45903</v>
      </c>
      <c r="AE25" s="22">
        <v>45758</v>
      </c>
      <c r="AF25" s="23">
        <f t="shared" si="0"/>
        <v>176</v>
      </c>
      <c r="AG25" s="24" t="s">
        <v>54</v>
      </c>
      <c r="AH25" s="20">
        <v>0</v>
      </c>
      <c r="AI25" s="20"/>
      <c r="AJ25" s="20"/>
      <c r="AK25" s="20">
        <v>8945</v>
      </c>
      <c r="AL25" s="25">
        <v>815</v>
      </c>
      <c r="AM25" s="26">
        <v>9760</v>
      </c>
      <c r="AN25" s="25" t="s">
        <v>55</v>
      </c>
    </row>
    <row r="26" spans="1:40" ht="30" customHeight="1">
      <c r="A26" s="16"/>
      <c r="B26" s="17">
        <v>25</v>
      </c>
      <c r="C26" s="18">
        <v>45904</v>
      </c>
      <c r="D26" s="19" t="s">
        <v>41</v>
      </c>
      <c r="E26" s="19" t="e" vm="10">
        <v>#VALUE!</v>
      </c>
      <c r="F26" s="19" t="s">
        <v>98</v>
      </c>
      <c r="G26" s="19" t="s">
        <v>43</v>
      </c>
      <c r="H26" s="19"/>
      <c r="I26" s="19" t="s">
        <v>111</v>
      </c>
      <c r="J26" s="19" t="s">
        <v>45</v>
      </c>
      <c r="K26" s="20"/>
      <c r="L26" s="20"/>
      <c r="M26" s="20"/>
      <c r="N26" s="20"/>
      <c r="O26" s="20"/>
      <c r="P26" s="20" t="s">
        <v>46</v>
      </c>
      <c r="Q26" s="20" t="s">
        <v>47</v>
      </c>
      <c r="R26" s="20" t="s">
        <v>48</v>
      </c>
      <c r="S26" s="20">
        <v>696</v>
      </c>
      <c r="T26" s="20"/>
      <c r="U26" s="20"/>
      <c r="V26" s="20" t="s">
        <v>49</v>
      </c>
      <c r="W26" s="20">
        <v>3158</v>
      </c>
      <c r="X26" s="20" t="s">
        <v>94</v>
      </c>
      <c r="Y26" s="20" t="s">
        <v>51</v>
      </c>
      <c r="Z26" s="20" t="s">
        <v>52</v>
      </c>
      <c r="AA26" s="20" t="s">
        <v>53</v>
      </c>
      <c r="AB26" s="20" t="s">
        <v>47</v>
      </c>
      <c r="AC26" s="21">
        <v>45727</v>
      </c>
      <c r="AD26" s="21">
        <v>45904</v>
      </c>
      <c r="AE26" s="22">
        <v>45756</v>
      </c>
      <c r="AF26" s="23">
        <f t="shared" si="0"/>
        <v>177</v>
      </c>
      <c r="AG26" s="24" t="s">
        <v>54</v>
      </c>
      <c r="AH26" s="20">
        <v>0</v>
      </c>
      <c r="AI26" s="20"/>
      <c r="AJ26" s="20"/>
      <c r="AK26" s="20">
        <v>8945</v>
      </c>
      <c r="AL26" s="25">
        <v>815</v>
      </c>
      <c r="AM26" s="26">
        <v>9760</v>
      </c>
      <c r="AN26" s="25" t="s">
        <v>55</v>
      </c>
    </row>
    <row r="27" spans="1:40" ht="30" customHeight="1">
      <c r="A27" s="16"/>
      <c r="B27" s="17">
        <v>26</v>
      </c>
      <c r="C27" s="18">
        <v>45904</v>
      </c>
      <c r="D27" s="19" t="s">
        <v>41</v>
      </c>
      <c r="E27" s="19" t="e" vm="10">
        <v>#VALUE!</v>
      </c>
      <c r="F27" s="19" t="s">
        <v>98</v>
      </c>
      <c r="G27" s="19" t="s">
        <v>43</v>
      </c>
      <c r="H27" s="19"/>
      <c r="I27" s="19" t="s">
        <v>112</v>
      </c>
      <c r="J27" s="19" t="s">
        <v>57</v>
      </c>
      <c r="K27" s="20"/>
      <c r="L27" s="20"/>
      <c r="M27" s="20"/>
      <c r="N27" s="20"/>
      <c r="O27" s="20"/>
      <c r="P27" s="20" t="s">
        <v>46</v>
      </c>
      <c r="Q27" s="20" t="s">
        <v>47</v>
      </c>
      <c r="R27" s="20" t="s">
        <v>48</v>
      </c>
      <c r="S27" s="20">
        <v>696</v>
      </c>
      <c r="T27" s="20"/>
      <c r="U27" s="20"/>
      <c r="V27" s="20" t="s">
        <v>49</v>
      </c>
      <c r="W27" s="20">
        <v>6418</v>
      </c>
      <c r="X27" s="20" t="s">
        <v>97</v>
      </c>
      <c r="Y27" s="20" t="s">
        <v>51</v>
      </c>
      <c r="Z27" s="20" t="s">
        <v>52</v>
      </c>
      <c r="AA27" s="20" t="s">
        <v>53</v>
      </c>
      <c r="AB27" s="20" t="s">
        <v>47</v>
      </c>
      <c r="AC27" s="21">
        <v>45800</v>
      </c>
      <c r="AD27" s="21">
        <v>45904</v>
      </c>
      <c r="AE27" s="22">
        <v>45813</v>
      </c>
      <c r="AF27" s="23">
        <f t="shared" si="0"/>
        <v>104</v>
      </c>
      <c r="AG27" s="24" t="s">
        <v>54</v>
      </c>
      <c r="AH27" s="20">
        <v>0</v>
      </c>
      <c r="AI27" s="20"/>
      <c r="AJ27" s="20"/>
      <c r="AK27" s="20">
        <v>8945</v>
      </c>
      <c r="AL27" s="25">
        <v>815</v>
      </c>
      <c r="AM27" s="26">
        <v>9760</v>
      </c>
      <c r="AN27" s="25" t="s">
        <v>55</v>
      </c>
    </row>
    <row r="28" spans="1:40" ht="30" customHeight="1">
      <c r="A28" s="16"/>
      <c r="B28" s="17">
        <v>27</v>
      </c>
      <c r="C28" s="18">
        <v>45909</v>
      </c>
      <c r="D28" s="19" t="s">
        <v>41</v>
      </c>
      <c r="E28" s="19" t="e" vm="15">
        <v>#VALUE!</v>
      </c>
      <c r="F28" s="19" t="s">
        <v>65</v>
      </c>
      <c r="G28" s="19" t="s">
        <v>43</v>
      </c>
      <c r="H28" s="19"/>
      <c r="I28" s="19" t="s">
        <v>113</v>
      </c>
      <c r="J28" s="19" t="s">
        <v>45</v>
      </c>
      <c r="K28" s="20"/>
      <c r="L28" s="20"/>
      <c r="M28" s="20"/>
      <c r="N28" s="20"/>
      <c r="O28" s="20"/>
      <c r="P28" s="20" t="s">
        <v>46</v>
      </c>
      <c r="Q28" s="20" t="s">
        <v>47</v>
      </c>
      <c r="R28" s="20" t="s">
        <v>48</v>
      </c>
      <c r="S28" s="20">
        <v>696</v>
      </c>
      <c r="T28" s="20"/>
      <c r="U28" s="20"/>
      <c r="V28" s="20" t="s">
        <v>49</v>
      </c>
      <c r="W28" s="20">
        <v>3896</v>
      </c>
      <c r="X28" s="20" t="s">
        <v>94</v>
      </c>
      <c r="Y28" s="20" t="s">
        <v>51</v>
      </c>
      <c r="Z28" s="20" t="s">
        <v>52</v>
      </c>
      <c r="AA28" s="20" t="s">
        <v>53</v>
      </c>
      <c r="AB28" s="20" t="s">
        <v>47</v>
      </c>
      <c r="AC28" s="21">
        <v>45735</v>
      </c>
      <c r="AD28" s="21">
        <v>45909</v>
      </c>
      <c r="AE28" s="22">
        <v>45836</v>
      </c>
      <c r="AF28" s="23">
        <f t="shared" si="0"/>
        <v>174</v>
      </c>
      <c r="AG28" s="24" t="s">
        <v>54</v>
      </c>
      <c r="AH28" s="20">
        <v>0</v>
      </c>
      <c r="AI28" s="20"/>
      <c r="AJ28" s="20"/>
      <c r="AK28" s="20">
        <v>8945</v>
      </c>
      <c r="AL28" s="25">
        <v>815</v>
      </c>
      <c r="AM28" s="26">
        <v>9760</v>
      </c>
      <c r="AN28" s="25" t="s">
        <v>55</v>
      </c>
    </row>
    <row r="29" spans="1:40" ht="30" customHeight="1">
      <c r="A29" s="16"/>
      <c r="B29" s="17">
        <v>28</v>
      </c>
      <c r="C29" s="18">
        <v>45903</v>
      </c>
      <c r="D29" s="19" t="s">
        <v>41</v>
      </c>
      <c r="E29" s="19" t="e" vm="4">
        <v>#VALUE!</v>
      </c>
      <c r="F29" s="19" t="s">
        <v>65</v>
      </c>
      <c r="G29" s="19" t="s">
        <v>43</v>
      </c>
      <c r="H29" s="19"/>
      <c r="I29" s="19" t="s">
        <v>114</v>
      </c>
      <c r="J29" s="19" t="s">
        <v>57</v>
      </c>
      <c r="K29" s="20"/>
      <c r="L29" s="20"/>
      <c r="M29" s="20"/>
      <c r="N29" s="20"/>
      <c r="O29" s="20"/>
      <c r="P29" s="20" t="s">
        <v>46</v>
      </c>
      <c r="Q29" s="20" t="s">
        <v>47</v>
      </c>
      <c r="R29" s="20" t="s">
        <v>48</v>
      </c>
      <c r="S29" s="20">
        <v>696</v>
      </c>
      <c r="T29" s="20"/>
      <c r="U29" s="20"/>
      <c r="V29" s="20" t="s">
        <v>49</v>
      </c>
      <c r="W29" s="20">
        <v>12</v>
      </c>
      <c r="X29" s="20" t="s">
        <v>90</v>
      </c>
      <c r="Y29" s="20" t="s">
        <v>51</v>
      </c>
      <c r="Z29" s="20" t="s">
        <v>52</v>
      </c>
      <c r="AA29" s="20" t="s">
        <v>53</v>
      </c>
      <c r="AB29" s="20" t="s">
        <v>47</v>
      </c>
      <c r="AC29" s="21">
        <v>45797</v>
      </c>
      <c r="AD29" s="21">
        <v>45903</v>
      </c>
      <c r="AE29" s="22">
        <v>45930</v>
      </c>
      <c r="AF29" s="23">
        <f t="shared" si="0"/>
        <v>106</v>
      </c>
      <c r="AG29" s="24" t="s">
        <v>54</v>
      </c>
      <c r="AH29" s="20">
        <v>0</v>
      </c>
      <c r="AI29" s="20"/>
      <c r="AJ29" s="20"/>
      <c r="AK29" s="20">
        <v>8945</v>
      </c>
      <c r="AL29" s="25">
        <v>815</v>
      </c>
      <c r="AM29" s="26">
        <v>9760</v>
      </c>
      <c r="AN29" s="25" t="s">
        <v>55</v>
      </c>
    </row>
    <row r="30" spans="1:40" ht="30" customHeight="1">
      <c r="A30" s="16"/>
      <c r="B30" s="17">
        <v>29</v>
      </c>
      <c r="C30" s="18">
        <v>45912</v>
      </c>
      <c r="D30" s="19" t="s">
        <v>41</v>
      </c>
      <c r="E30" s="19" t="e" vm="4">
        <v>#VALUE!</v>
      </c>
      <c r="F30" s="19" t="s">
        <v>65</v>
      </c>
      <c r="G30" s="19" t="s">
        <v>43</v>
      </c>
      <c r="H30" s="19"/>
      <c r="I30" s="19" t="s">
        <v>115</v>
      </c>
      <c r="J30" s="19" t="s">
        <v>45</v>
      </c>
      <c r="K30" s="20"/>
      <c r="L30" s="20"/>
      <c r="M30" s="20"/>
      <c r="N30" s="20"/>
      <c r="O30" s="20"/>
      <c r="P30" s="20" t="s">
        <v>46</v>
      </c>
      <c r="Q30" s="20" t="s">
        <v>47</v>
      </c>
      <c r="R30" s="20" t="s">
        <v>48</v>
      </c>
      <c r="S30" s="20">
        <v>696</v>
      </c>
      <c r="T30" s="20"/>
      <c r="U30" s="20"/>
      <c r="V30" s="20" t="s">
        <v>49</v>
      </c>
      <c r="W30" s="20">
        <v>14561</v>
      </c>
      <c r="X30" s="20" t="s">
        <v>67</v>
      </c>
      <c r="Y30" s="20" t="s">
        <v>51</v>
      </c>
      <c r="Z30" s="20" t="s">
        <v>52</v>
      </c>
      <c r="AA30" s="20" t="s">
        <v>53</v>
      </c>
      <c r="AB30" s="20" t="s">
        <v>47</v>
      </c>
      <c r="AC30" s="21">
        <v>45756</v>
      </c>
      <c r="AD30" s="21">
        <v>45912</v>
      </c>
      <c r="AE30" s="22">
        <v>45775</v>
      </c>
      <c r="AF30" s="23">
        <f t="shared" si="0"/>
        <v>156</v>
      </c>
      <c r="AG30" s="24" t="s">
        <v>54</v>
      </c>
      <c r="AH30" s="20">
        <v>0</v>
      </c>
      <c r="AI30" s="20"/>
      <c r="AJ30" s="20"/>
      <c r="AK30" s="20">
        <v>8945</v>
      </c>
      <c r="AL30" s="25">
        <v>815</v>
      </c>
      <c r="AM30" s="26">
        <v>9760</v>
      </c>
      <c r="AN30" s="25" t="s">
        <v>55</v>
      </c>
    </row>
    <row r="31" spans="1:40" ht="30" customHeight="1">
      <c r="A31" s="16"/>
      <c r="B31" s="17">
        <v>30</v>
      </c>
      <c r="C31" s="18">
        <v>45912</v>
      </c>
      <c r="D31" s="19" t="s">
        <v>41</v>
      </c>
      <c r="E31" s="19"/>
      <c r="F31" s="19" t="s">
        <v>116</v>
      </c>
      <c r="G31" s="19" t="s">
        <v>43</v>
      </c>
      <c r="H31" s="19"/>
      <c r="I31" s="19" t="s">
        <v>117</v>
      </c>
      <c r="J31" s="19" t="s">
        <v>45</v>
      </c>
      <c r="K31" s="20"/>
      <c r="L31" s="20"/>
      <c r="M31" s="20"/>
      <c r="N31" s="20"/>
      <c r="O31" s="20"/>
      <c r="P31" s="20" t="s">
        <v>46</v>
      </c>
      <c r="Q31" s="20" t="s">
        <v>47</v>
      </c>
      <c r="R31" s="20" t="s">
        <v>48</v>
      </c>
      <c r="S31" s="20">
        <v>696</v>
      </c>
      <c r="T31" s="20"/>
      <c r="U31" s="20"/>
      <c r="V31" s="20" t="s">
        <v>49</v>
      </c>
      <c r="W31" s="20">
        <v>8055</v>
      </c>
      <c r="X31" s="20" t="s">
        <v>50</v>
      </c>
      <c r="Y31" s="20" t="s">
        <v>51</v>
      </c>
      <c r="Z31" s="20" t="s">
        <v>52</v>
      </c>
      <c r="AA31" s="20" t="s">
        <v>53</v>
      </c>
      <c r="AB31" s="20" t="s">
        <v>47</v>
      </c>
      <c r="AC31" s="21">
        <v>45771</v>
      </c>
      <c r="AD31" s="21">
        <v>45912</v>
      </c>
      <c r="AE31" s="22">
        <v>45821</v>
      </c>
      <c r="AF31" s="23">
        <f t="shared" si="0"/>
        <v>141</v>
      </c>
      <c r="AG31" s="24" t="s">
        <v>54</v>
      </c>
      <c r="AH31" s="20">
        <v>0</v>
      </c>
      <c r="AI31" s="20"/>
      <c r="AJ31" s="20"/>
      <c r="AK31" s="20">
        <v>8945</v>
      </c>
      <c r="AL31" s="25">
        <v>815</v>
      </c>
      <c r="AM31" s="26">
        <v>9760</v>
      </c>
      <c r="AN31" s="25" t="s">
        <v>55</v>
      </c>
    </row>
    <row r="32" spans="1:40" ht="30" customHeight="1">
      <c r="A32" s="16"/>
      <c r="B32" s="17">
        <v>31</v>
      </c>
      <c r="C32" s="18">
        <v>45913</v>
      </c>
      <c r="D32" s="19" t="s">
        <v>41</v>
      </c>
      <c r="E32" s="19" t="e" vm="1">
        <v>#VALUE!</v>
      </c>
      <c r="F32" s="19" t="s">
        <v>42</v>
      </c>
      <c r="G32" s="19" t="s">
        <v>43</v>
      </c>
      <c r="H32" s="19"/>
      <c r="I32" s="19" t="s">
        <v>118</v>
      </c>
      <c r="J32" s="19" t="s">
        <v>45</v>
      </c>
      <c r="K32" s="20"/>
      <c r="L32" s="20"/>
      <c r="M32" s="20"/>
      <c r="N32" s="20"/>
      <c r="O32" s="20"/>
      <c r="P32" s="20" t="s">
        <v>46</v>
      </c>
      <c r="Q32" s="20" t="s">
        <v>47</v>
      </c>
      <c r="R32" s="20" t="s">
        <v>48</v>
      </c>
      <c r="S32" s="20">
        <v>696</v>
      </c>
      <c r="T32" s="20"/>
      <c r="U32" s="20"/>
      <c r="V32" s="20" t="s">
        <v>49</v>
      </c>
      <c r="W32" s="20">
        <v>4225</v>
      </c>
      <c r="X32" s="20" t="s">
        <v>79</v>
      </c>
      <c r="Y32" s="20" t="s">
        <v>51</v>
      </c>
      <c r="Z32" s="20" t="s">
        <v>52</v>
      </c>
      <c r="AA32" s="20" t="s">
        <v>53</v>
      </c>
      <c r="AB32" s="20" t="s">
        <v>47</v>
      </c>
      <c r="AC32" s="21">
        <v>45822</v>
      </c>
      <c r="AD32" s="21">
        <v>45913</v>
      </c>
      <c r="AE32" s="22">
        <v>45836</v>
      </c>
      <c r="AF32" s="23">
        <f t="shared" si="0"/>
        <v>91</v>
      </c>
      <c r="AG32" s="24" t="s">
        <v>54</v>
      </c>
      <c r="AH32" s="20">
        <v>0</v>
      </c>
      <c r="AI32" s="20"/>
      <c r="AJ32" s="20"/>
      <c r="AK32" s="20">
        <v>8945</v>
      </c>
      <c r="AL32" s="25">
        <v>815</v>
      </c>
      <c r="AM32" s="26">
        <v>9760</v>
      </c>
      <c r="AN32" s="25" t="s">
        <v>55</v>
      </c>
    </row>
    <row r="33" spans="1:42" ht="30" customHeight="1">
      <c r="A33" s="16"/>
      <c r="B33" s="17">
        <v>32</v>
      </c>
      <c r="C33" s="18">
        <v>45904</v>
      </c>
      <c r="D33" s="19" t="s">
        <v>41</v>
      </c>
      <c r="E33" s="19" t="e" vm="1">
        <v>#VALUE!</v>
      </c>
      <c r="F33" s="19" t="s">
        <v>42</v>
      </c>
      <c r="G33" s="19" t="s">
        <v>43</v>
      </c>
      <c r="H33" s="19"/>
      <c r="I33" s="19" t="s">
        <v>119</v>
      </c>
      <c r="J33" s="19" t="s">
        <v>45</v>
      </c>
      <c r="K33" s="20"/>
      <c r="L33" s="20"/>
      <c r="M33" s="20"/>
      <c r="N33" s="20"/>
      <c r="O33" s="20"/>
      <c r="P33" s="20" t="s">
        <v>46</v>
      </c>
      <c r="Q33" s="20" t="s">
        <v>47</v>
      </c>
      <c r="R33" s="20" t="s">
        <v>48</v>
      </c>
      <c r="S33" s="20">
        <v>696</v>
      </c>
      <c r="T33" s="20"/>
      <c r="U33" s="20"/>
      <c r="V33" s="20" t="s">
        <v>49</v>
      </c>
      <c r="W33" s="20">
        <v>7435</v>
      </c>
      <c r="X33" s="20" t="s">
        <v>87</v>
      </c>
      <c r="Y33" s="20" t="s">
        <v>51</v>
      </c>
      <c r="Z33" s="20" t="s">
        <v>52</v>
      </c>
      <c r="AA33" s="20" t="s">
        <v>53</v>
      </c>
      <c r="AB33" s="20" t="s">
        <v>47</v>
      </c>
      <c r="AC33" s="21">
        <v>45718</v>
      </c>
      <c r="AD33" s="21">
        <v>45904</v>
      </c>
      <c r="AE33" s="22">
        <v>45781</v>
      </c>
      <c r="AF33" s="23">
        <f t="shared" si="0"/>
        <v>186</v>
      </c>
      <c r="AG33" s="24" t="s">
        <v>85</v>
      </c>
      <c r="AH33" s="20">
        <v>0</v>
      </c>
      <c r="AI33" s="20"/>
      <c r="AJ33" s="20"/>
      <c r="AK33" s="20">
        <v>8945</v>
      </c>
      <c r="AL33" s="25">
        <v>815</v>
      </c>
      <c r="AM33" s="26">
        <v>9760</v>
      </c>
      <c r="AN33" s="25" t="s">
        <v>55</v>
      </c>
    </row>
    <row r="34" spans="1:42" ht="30" customHeight="1">
      <c r="A34" s="16"/>
      <c r="B34" s="17">
        <v>33</v>
      </c>
      <c r="C34" s="18">
        <v>45920</v>
      </c>
      <c r="D34" s="19" t="s">
        <v>41</v>
      </c>
      <c r="E34" s="19" t="e" vm="1">
        <v>#VALUE!</v>
      </c>
      <c r="F34" s="19" t="s">
        <v>42</v>
      </c>
      <c r="G34" s="19" t="s">
        <v>43</v>
      </c>
      <c r="H34" s="19"/>
      <c r="I34" s="19" t="s">
        <v>120</v>
      </c>
      <c r="J34" s="19" t="s">
        <v>45</v>
      </c>
      <c r="K34" s="20"/>
      <c r="L34" s="20"/>
      <c r="M34" s="20"/>
      <c r="N34" s="20"/>
      <c r="O34" s="20"/>
      <c r="P34" s="20" t="s">
        <v>46</v>
      </c>
      <c r="Q34" s="20" t="s">
        <v>47</v>
      </c>
      <c r="R34" s="20" t="s">
        <v>48</v>
      </c>
      <c r="S34" s="20">
        <v>696</v>
      </c>
      <c r="T34" s="20"/>
      <c r="U34" s="20"/>
      <c r="V34" s="20" t="s">
        <v>49</v>
      </c>
      <c r="W34" s="20">
        <v>3142</v>
      </c>
      <c r="X34" s="20" t="s">
        <v>94</v>
      </c>
      <c r="Y34" s="20" t="s">
        <v>51</v>
      </c>
      <c r="Z34" s="20" t="s">
        <v>52</v>
      </c>
      <c r="AA34" s="20" t="s">
        <v>53</v>
      </c>
      <c r="AB34" s="20" t="s">
        <v>47</v>
      </c>
      <c r="AC34" s="21">
        <v>45698</v>
      </c>
      <c r="AD34" s="21">
        <v>45920</v>
      </c>
      <c r="AE34" s="22">
        <v>45761</v>
      </c>
      <c r="AF34" s="23">
        <f t="shared" si="0"/>
        <v>222</v>
      </c>
      <c r="AG34" s="24" t="s">
        <v>85</v>
      </c>
      <c r="AH34" s="20">
        <v>0</v>
      </c>
      <c r="AI34" s="20"/>
      <c r="AJ34" s="20"/>
      <c r="AK34" s="20">
        <v>8945</v>
      </c>
      <c r="AL34" s="25">
        <v>815</v>
      </c>
      <c r="AM34" s="26">
        <v>9760</v>
      </c>
      <c r="AN34" s="25" t="s">
        <v>55</v>
      </c>
    </row>
    <row r="35" spans="1:42" ht="30" customHeight="1">
      <c r="A35" s="16"/>
      <c r="B35" s="17">
        <v>34</v>
      </c>
      <c r="C35" s="18">
        <v>45925</v>
      </c>
      <c r="D35" s="19" t="s">
        <v>41</v>
      </c>
      <c r="E35" s="19" t="e" vm="16">
        <v>#VALUE!</v>
      </c>
      <c r="F35" s="19" t="s">
        <v>92</v>
      </c>
      <c r="G35" s="19" t="s">
        <v>43</v>
      </c>
      <c r="H35" s="19"/>
      <c r="I35" s="19" t="s">
        <v>121</v>
      </c>
      <c r="J35" s="19" t="s">
        <v>57</v>
      </c>
      <c r="K35" s="20"/>
      <c r="L35" s="20"/>
      <c r="M35" s="20"/>
      <c r="N35" s="20"/>
      <c r="O35" s="20"/>
      <c r="P35" s="20" t="s">
        <v>46</v>
      </c>
      <c r="Q35" s="20" t="s">
        <v>47</v>
      </c>
      <c r="R35" s="20" t="s">
        <v>48</v>
      </c>
      <c r="S35" s="20">
        <v>696</v>
      </c>
      <c r="T35" s="20"/>
      <c r="U35" s="20"/>
      <c r="V35" s="20" t="s">
        <v>49</v>
      </c>
      <c r="W35" s="20">
        <v>8685</v>
      </c>
      <c r="X35" s="20" t="s">
        <v>50</v>
      </c>
      <c r="Y35" s="20" t="s">
        <v>51</v>
      </c>
      <c r="Z35" s="20" t="s">
        <v>52</v>
      </c>
      <c r="AA35" s="20" t="s">
        <v>53</v>
      </c>
      <c r="AB35" s="20" t="s">
        <v>47</v>
      </c>
      <c r="AC35" s="21">
        <v>45717</v>
      </c>
      <c r="AD35" s="21">
        <v>45925</v>
      </c>
      <c r="AE35" s="22">
        <v>45756</v>
      </c>
      <c r="AF35" s="23">
        <f t="shared" si="0"/>
        <v>208</v>
      </c>
      <c r="AG35" s="24" t="s">
        <v>85</v>
      </c>
      <c r="AH35" s="20">
        <v>0</v>
      </c>
      <c r="AI35" s="20"/>
      <c r="AJ35" s="20"/>
      <c r="AK35" s="20">
        <v>8945</v>
      </c>
      <c r="AL35" s="25">
        <v>815</v>
      </c>
      <c r="AM35" s="26">
        <v>9760</v>
      </c>
      <c r="AN35" s="25" t="s">
        <v>55</v>
      </c>
    </row>
    <row r="36" spans="1:42" ht="30" customHeight="1">
      <c r="A36" s="16"/>
      <c r="B36" s="17">
        <v>35</v>
      </c>
      <c r="C36" s="18">
        <v>45911</v>
      </c>
      <c r="D36" s="19" t="s">
        <v>41</v>
      </c>
      <c r="E36" s="19"/>
      <c r="F36" s="19" t="s">
        <v>65</v>
      </c>
      <c r="G36" s="19" t="s">
        <v>43</v>
      </c>
      <c r="H36" s="19"/>
      <c r="I36" s="19" t="s">
        <v>122</v>
      </c>
      <c r="J36" s="19" t="s">
        <v>57</v>
      </c>
      <c r="K36" s="20"/>
      <c r="L36" s="20"/>
      <c r="M36" s="20"/>
      <c r="N36" s="20"/>
      <c r="O36" s="20"/>
      <c r="P36" s="20" t="s">
        <v>46</v>
      </c>
      <c r="Q36" s="20" t="s">
        <v>47</v>
      </c>
      <c r="R36" s="20" t="s">
        <v>48</v>
      </c>
      <c r="S36" s="20">
        <v>696</v>
      </c>
      <c r="T36" s="32"/>
      <c r="U36" s="20"/>
      <c r="V36" s="20" t="s">
        <v>49</v>
      </c>
      <c r="W36" s="20">
        <v>1406</v>
      </c>
      <c r="X36" s="20" t="s">
        <v>123</v>
      </c>
      <c r="Y36" s="20" t="s">
        <v>51</v>
      </c>
      <c r="Z36" s="20" t="s">
        <v>52</v>
      </c>
      <c r="AA36" s="20" t="s">
        <v>53</v>
      </c>
      <c r="AB36" s="20" t="s">
        <v>47</v>
      </c>
      <c r="AC36" s="21">
        <v>45785</v>
      </c>
      <c r="AD36" s="21">
        <v>45911</v>
      </c>
      <c r="AE36" s="22">
        <v>45866</v>
      </c>
      <c r="AF36" s="23">
        <f t="shared" si="0"/>
        <v>126</v>
      </c>
      <c r="AG36" s="24" t="s">
        <v>54</v>
      </c>
      <c r="AH36" s="20">
        <v>0</v>
      </c>
      <c r="AI36" s="20"/>
      <c r="AJ36" s="20"/>
      <c r="AK36" s="20">
        <v>8945</v>
      </c>
      <c r="AL36" s="25">
        <v>815</v>
      </c>
      <c r="AM36" s="26">
        <v>9760</v>
      </c>
      <c r="AN36" s="25" t="s">
        <v>55</v>
      </c>
    </row>
    <row r="37" spans="1:42" s="31" customFormat="1" ht="21" customHeight="1">
      <c r="A37" s="16"/>
      <c r="B37" s="17">
        <v>36</v>
      </c>
      <c r="C37" s="18">
        <v>45776</v>
      </c>
      <c r="D37" s="19" t="s">
        <v>124</v>
      </c>
      <c r="E37" s="19" t="e" vm="16">
        <v>#VALUE!</v>
      </c>
      <c r="F37" s="19" t="s">
        <v>92</v>
      </c>
      <c r="G37" s="19"/>
      <c r="H37" s="19"/>
      <c r="I37" s="19" t="s">
        <v>125</v>
      </c>
      <c r="J37" s="19" t="s">
        <v>126</v>
      </c>
      <c r="K37" s="20"/>
      <c r="L37" s="20"/>
      <c r="M37" s="20" t="s">
        <v>74</v>
      </c>
      <c r="N37" s="20" t="s">
        <v>127</v>
      </c>
      <c r="O37" s="20"/>
      <c r="P37" s="20" t="s">
        <v>46</v>
      </c>
      <c r="Q37" s="20" t="s">
        <v>128</v>
      </c>
      <c r="R37" s="20" t="s">
        <v>48</v>
      </c>
      <c r="S37" s="33">
        <v>563</v>
      </c>
      <c r="T37" s="34">
        <v>2806</v>
      </c>
      <c r="U37" s="35"/>
      <c r="V37" s="20" t="s">
        <v>129</v>
      </c>
      <c r="W37" s="20">
        <v>992</v>
      </c>
      <c r="X37" s="20" t="s">
        <v>90</v>
      </c>
      <c r="Y37" s="20" t="s">
        <v>51</v>
      </c>
      <c r="Z37" s="20" t="s">
        <v>52</v>
      </c>
      <c r="AA37" s="20" t="s">
        <v>130</v>
      </c>
      <c r="AB37" s="20" t="s">
        <v>131</v>
      </c>
      <c r="AC37" s="21">
        <v>45712</v>
      </c>
      <c r="AD37" s="21">
        <v>45776</v>
      </c>
      <c r="AE37" s="36">
        <v>45756</v>
      </c>
      <c r="AF37" s="23">
        <f t="shared" si="0"/>
        <v>64</v>
      </c>
      <c r="AG37" s="24" t="s">
        <v>101</v>
      </c>
      <c r="AH37" s="20">
        <v>12000</v>
      </c>
      <c r="AI37" s="25"/>
      <c r="AJ37" s="25"/>
      <c r="AK37" s="37">
        <v>9045</v>
      </c>
      <c r="AL37" s="38">
        <v>11200.000000000002</v>
      </c>
      <c r="AM37" s="30">
        <v>32245</v>
      </c>
      <c r="AN37" s="31" t="s">
        <v>132</v>
      </c>
      <c r="AP37" s="31" t="s">
        <v>133</v>
      </c>
    </row>
    <row r="38" spans="1:42" ht="30" customHeight="1">
      <c r="A38" s="16"/>
      <c r="B38" s="17">
        <v>37</v>
      </c>
      <c r="C38" s="18">
        <v>45829</v>
      </c>
      <c r="D38" s="19" t="s">
        <v>134</v>
      </c>
      <c r="E38" s="19" t="e" vm="17">
        <v>#VALUE!</v>
      </c>
      <c r="F38" s="19" t="s">
        <v>65</v>
      </c>
      <c r="G38" s="19" t="s">
        <v>135</v>
      </c>
      <c r="H38" s="19"/>
      <c r="I38" s="19" t="s">
        <v>136</v>
      </c>
      <c r="J38" s="19" t="s">
        <v>126</v>
      </c>
      <c r="K38" s="20"/>
      <c r="L38" s="20"/>
      <c r="M38" s="20" t="s">
        <v>74</v>
      </c>
      <c r="N38" s="20"/>
      <c r="O38" s="20"/>
      <c r="P38" s="20" t="s">
        <v>46</v>
      </c>
      <c r="Q38" s="20" t="s">
        <v>47</v>
      </c>
      <c r="R38" s="20" t="s">
        <v>48</v>
      </c>
      <c r="S38" s="20">
        <v>696</v>
      </c>
      <c r="T38" s="20">
        <v>5759</v>
      </c>
      <c r="U38" s="20"/>
      <c r="V38" s="20" t="s">
        <v>49</v>
      </c>
      <c r="W38" s="20">
        <v>2411</v>
      </c>
      <c r="X38" s="20" t="s">
        <v>60</v>
      </c>
      <c r="Y38" s="20" t="s">
        <v>51</v>
      </c>
      <c r="Z38" s="20" t="s">
        <v>52</v>
      </c>
      <c r="AA38" s="20" t="s">
        <v>130</v>
      </c>
      <c r="AB38" s="20" t="s">
        <v>47</v>
      </c>
      <c r="AC38" s="21">
        <v>45693</v>
      </c>
      <c r="AD38" s="21">
        <v>45829</v>
      </c>
      <c r="AE38" s="39">
        <v>45800</v>
      </c>
      <c r="AF38" s="23">
        <f t="shared" si="0"/>
        <v>136</v>
      </c>
      <c r="AG38" s="24" t="s">
        <v>54</v>
      </c>
      <c r="AH38" s="20">
        <v>80000</v>
      </c>
      <c r="AK38" s="37">
        <v>8945</v>
      </c>
      <c r="AL38" s="25">
        <v>815</v>
      </c>
      <c r="AM38" s="26">
        <v>89760</v>
      </c>
      <c r="AN38" s="25" t="s">
        <v>55</v>
      </c>
    </row>
    <row r="39" spans="1:42" s="31" customFormat="1" ht="30" customHeight="1">
      <c r="A39" s="16"/>
      <c r="B39" s="17">
        <v>38</v>
      </c>
      <c r="C39" s="18">
        <v>45836</v>
      </c>
      <c r="D39" s="19" t="s">
        <v>137</v>
      </c>
      <c r="E39" s="19" t="e" vm="10">
        <v>#VALUE!</v>
      </c>
      <c r="F39" s="19" t="s">
        <v>98</v>
      </c>
      <c r="G39" s="19" t="s">
        <v>71</v>
      </c>
      <c r="H39" s="19"/>
      <c r="I39" s="16" t="s">
        <v>138</v>
      </c>
      <c r="J39" s="19" t="s">
        <v>126</v>
      </c>
      <c r="K39" s="20"/>
      <c r="L39" s="20"/>
      <c r="M39" s="20" t="s">
        <v>74</v>
      </c>
      <c r="N39" s="20"/>
      <c r="O39" s="20"/>
      <c r="P39" s="20" t="s">
        <v>46</v>
      </c>
      <c r="Q39" s="20" t="s">
        <v>139</v>
      </c>
      <c r="R39" s="20" t="s">
        <v>48</v>
      </c>
      <c r="S39" s="20">
        <v>708</v>
      </c>
      <c r="T39" s="20">
        <v>4177</v>
      </c>
      <c r="U39" s="20"/>
      <c r="V39" s="40" t="s">
        <v>140</v>
      </c>
      <c r="W39" s="20">
        <v>5880</v>
      </c>
      <c r="X39" s="20" t="s">
        <v>64</v>
      </c>
      <c r="Y39" s="20" t="s">
        <v>141</v>
      </c>
      <c r="Z39" s="20" t="s">
        <v>52</v>
      </c>
      <c r="AA39" s="20" t="s">
        <v>130</v>
      </c>
      <c r="AB39" s="20" t="s">
        <v>139</v>
      </c>
      <c r="AC39" s="21">
        <v>45763</v>
      </c>
      <c r="AD39" s="21">
        <v>45836</v>
      </c>
      <c r="AE39" s="36">
        <v>45778</v>
      </c>
      <c r="AF39" s="23">
        <f t="shared" si="0"/>
        <v>73</v>
      </c>
      <c r="AG39" s="24" t="s">
        <v>101</v>
      </c>
      <c r="AH39" s="20">
        <v>0</v>
      </c>
      <c r="AI39" s="20"/>
      <c r="AJ39" s="20"/>
      <c r="AK39" s="29">
        <v>5945</v>
      </c>
      <c r="AL39" s="25">
        <v>1038640.9600000001</v>
      </c>
      <c r="AM39" s="30">
        <v>1044585.9600000001</v>
      </c>
      <c r="AN39" s="31" t="s">
        <v>132</v>
      </c>
    </row>
    <row r="40" spans="1:42" ht="25" customHeight="1">
      <c r="A40" s="16"/>
      <c r="B40" s="17">
        <v>39</v>
      </c>
      <c r="C40" s="18">
        <v>45840</v>
      </c>
      <c r="D40" s="19" t="s">
        <v>142</v>
      </c>
      <c r="E40" s="19" t="e" vm="4">
        <v>#VALUE!</v>
      </c>
      <c r="F40" s="19" t="s">
        <v>65</v>
      </c>
      <c r="G40" s="19" t="s">
        <v>135</v>
      </c>
      <c r="H40" s="19"/>
      <c r="I40" s="19" t="s">
        <v>143</v>
      </c>
      <c r="J40" s="19" t="s">
        <v>57</v>
      </c>
      <c r="K40" s="20"/>
      <c r="L40" s="20"/>
      <c r="M40" s="20" t="s">
        <v>74</v>
      </c>
      <c r="N40" s="20"/>
      <c r="O40" s="20"/>
      <c r="P40" s="20" t="s">
        <v>46</v>
      </c>
      <c r="Q40" s="20" t="s">
        <v>47</v>
      </c>
      <c r="R40" s="20" t="s">
        <v>48</v>
      </c>
      <c r="S40" s="20">
        <v>531</v>
      </c>
      <c r="T40" s="20">
        <v>42552</v>
      </c>
      <c r="U40" s="20"/>
      <c r="V40" s="20" t="s">
        <v>49</v>
      </c>
      <c r="W40" s="20">
        <v>1507</v>
      </c>
      <c r="X40" s="20" t="s">
        <v>123</v>
      </c>
      <c r="Y40" s="20" t="s">
        <v>51</v>
      </c>
      <c r="Z40" s="20" t="s">
        <v>52</v>
      </c>
      <c r="AA40" s="20" t="s">
        <v>130</v>
      </c>
      <c r="AB40" s="20" t="s">
        <v>47</v>
      </c>
      <c r="AC40" s="21">
        <v>45779</v>
      </c>
      <c r="AD40" s="21">
        <v>45840</v>
      </c>
      <c r="AE40" s="39">
        <v>45817</v>
      </c>
      <c r="AF40" s="23">
        <f t="shared" si="0"/>
        <v>61</v>
      </c>
      <c r="AG40" s="24" t="s">
        <v>101</v>
      </c>
      <c r="AH40" s="20">
        <v>80000</v>
      </c>
      <c r="AI40" s="20"/>
      <c r="AJ40" s="20"/>
      <c r="AK40" s="20">
        <v>8945</v>
      </c>
      <c r="AL40" s="25">
        <v>815</v>
      </c>
      <c r="AM40" s="26">
        <v>89760</v>
      </c>
      <c r="AN40" s="25" t="s">
        <v>55</v>
      </c>
    </row>
    <row r="41" spans="1:42" s="31" customFormat="1" ht="30" customHeight="1">
      <c r="A41" s="16"/>
      <c r="B41" s="17">
        <v>40</v>
      </c>
      <c r="C41" s="18">
        <v>45867</v>
      </c>
      <c r="D41" s="19" t="s">
        <v>53</v>
      </c>
      <c r="E41" s="19" t="e" vm="18">
        <v>#VALUE!</v>
      </c>
      <c r="F41" s="19" t="s">
        <v>70</v>
      </c>
      <c r="G41" s="19" t="s">
        <v>71</v>
      </c>
      <c r="H41" s="19"/>
      <c r="I41" s="19" t="s">
        <v>144</v>
      </c>
      <c r="J41" s="19" t="s">
        <v>45</v>
      </c>
      <c r="K41" s="20"/>
      <c r="L41" s="20"/>
      <c r="M41" s="20" t="s">
        <v>74</v>
      </c>
      <c r="N41" s="20"/>
      <c r="O41" s="20"/>
      <c r="P41" s="20" t="s">
        <v>46</v>
      </c>
      <c r="Q41" s="20" t="s">
        <v>80</v>
      </c>
      <c r="R41" s="20" t="s">
        <v>48</v>
      </c>
      <c r="S41" s="20" t="s">
        <v>145</v>
      </c>
      <c r="T41" s="20" t="s">
        <v>145</v>
      </c>
      <c r="U41" s="20"/>
      <c r="V41" s="20" t="s">
        <v>83</v>
      </c>
      <c r="W41" s="20">
        <v>5818</v>
      </c>
      <c r="X41" s="20" t="s">
        <v>64</v>
      </c>
      <c r="Y41" s="20" t="s">
        <v>51</v>
      </c>
      <c r="Z41" s="20" t="s">
        <v>52</v>
      </c>
      <c r="AA41" s="20" t="s">
        <v>130</v>
      </c>
      <c r="AB41" s="20" t="s">
        <v>80</v>
      </c>
      <c r="AC41" s="21">
        <v>45705</v>
      </c>
      <c r="AD41" s="21">
        <v>45867</v>
      </c>
      <c r="AE41" s="36">
        <v>45744</v>
      </c>
      <c r="AF41" s="23">
        <f t="shared" si="0"/>
        <v>162</v>
      </c>
      <c r="AG41" s="24" t="s">
        <v>54</v>
      </c>
      <c r="AH41" s="20">
        <v>80000</v>
      </c>
      <c r="AI41" s="20"/>
      <c r="AJ41" s="20"/>
      <c r="AK41" s="29">
        <v>8945</v>
      </c>
      <c r="AL41" s="25">
        <v>0</v>
      </c>
      <c r="AM41" s="30">
        <v>88945</v>
      </c>
      <c r="AN41" s="25" t="s">
        <v>55</v>
      </c>
    </row>
    <row r="42" spans="1:42" s="31" customFormat="1" ht="30" customHeight="1">
      <c r="A42" s="16"/>
      <c r="B42" s="17">
        <v>41</v>
      </c>
      <c r="C42" s="16"/>
      <c r="D42" s="16" t="s">
        <v>146</v>
      </c>
      <c r="E42" s="16" t="s">
        <v>147</v>
      </c>
      <c r="F42" s="16" t="s">
        <v>148</v>
      </c>
      <c r="G42" s="16"/>
      <c r="H42" s="16"/>
      <c r="I42" s="16" t="s">
        <v>149</v>
      </c>
      <c r="J42" s="41" t="s">
        <v>45</v>
      </c>
      <c r="K42" s="34" t="s">
        <v>150</v>
      </c>
      <c r="L42" s="34"/>
      <c r="M42" s="34" t="s">
        <v>74</v>
      </c>
      <c r="N42" s="34" t="s">
        <v>151</v>
      </c>
      <c r="O42" s="34" t="s">
        <v>152</v>
      </c>
      <c r="P42" s="34" t="s">
        <v>46</v>
      </c>
      <c r="Q42" s="34" t="s">
        <v>153</v>
      </c>
      <c r="R42" s="20" t="s">
        <v>48</v>
      </c>
      <c r="S42" s="40" t="s">
        <v>53</v>
      </c>
      <c r="T42" s="40" t="s">
        <v>154</v>
      </c>
      <c r="U42" s="40"/>
      <c r="V42" s="40" t="s">
        <v>140</v>
      </c>
      <c r="W42" s="40">
        <v>60</v>
      </c>
      <c r="X42" s="20" t="s">
        <v>90</v>
      </c>
      <c r="Y42" s="40" t="s">
        <v>141</v>
      </c>
      <c r="Z42" s="40" t="s">
        <v>52</v>
      </c>
      <c r="AA42" s="34">
        <v>0</v>
      </c>
      <c r="AB42" s="40" t="s">
        <v>139</v>
      </c>
      <c r="AC42" s="42">
        <v>45763</v>
      </c>
      <c r="AD42" s="42">
        <v>45774</v>
      </c>
      <c r="AE42" s="42">
        <v>45836</v>
      </c>
      <c r="AF42" s="23">
        <f t="shared" si="0"/>
        <v>11</v>
      </c>
      <c r="AG42" s="24" t="s">
        <v>101</v>
      </c>
      <c r="AH42" s="29">
        <v>0</v>
      </c>
      <c r="AI42" s="29"/>
      <c r="AJ42" s="29"/>
      <c r="AK42" s="29">
        <v>5945</v>
      </c>
      <c r="AL42" s="38">
        <v>1038640.9600000001</v>
      </c>
      <c r="AM42" s="30">
        <v>1044585.9600000001</v>
      </c>
      <c r="AN42" s="31" t="s">
        <v>132</v>
      </c>
    </row>
    <row r="43" spans="1:42" s="31" customFormat="1" ht="30" customHeight="1">
      <c r="A43" s="16"/>
      <c r="B43" s="17">
        <v>42</v>
      </c>
      <c r="C43" s="16"/>
      <c r="D43" s="16" t="s">
        <v>146</v>
      </c>
      <c r="E43" s="16" t="s">
        <v>147</v>
      </c>
      <c r="F43" s="16" t="s">
        <v>148</v>
      </c>
      <c r="G43" s="19" t="s">
        <v>71</v>
      </c>
      <c r="H43" s="16"/>
      <c r="I43" s="19" t="s">
        <v>155</v>
      </c>
      <c r="J43" s="41" t="s">
        <v>45</v>
      </c>
      <c r="K43" s="34" t="s">
        <v>156</v>
      </c>
      <c r="L43" s="34"/>
      <c r="M43" s="34" t="s">
        <v>74</v>
      </c>
      <c r="N43" s="34" t="s">
        <v>157</v>
      </c>
      <c r="O43" s="34" t="s">
        <v>152</v>
      </c>
      <c r="P43" s="34" t="s">
        <v>46</v>
      </c>
      <c r="Q43" s="34" t="s">
        <v>78</v>
      </c>
      <c r="R43" s="20" t="s">
        <v>48</v>
      </c>
      <c r="S43" s="34">
        <v>471</v>
      </c>
      <c r="T43" s="43">
        <v>1977</v>
      </c>
      <c r="U43" s="34"/>
      <c r="V43" s="20" t="s">
        <v>83</v>
      </c>
      <c r="W43" s="40">
        <v>106</v>
      </c>
      <c r="X43" s="20" t="s">
        <v>90</v>
      </c>
      <c r="Y43" s="20" t="s">
        <v>51</v>
      </c>
      <c r="Z43" s="40" t="s">
        <v>52</v>
      </c>
      <c r="AA43" s="34" t="s">
        <v>158</v>
      </c>
      <c r="AB43" s="20" t="s">
        <v>80</v>
      </c>
      <c r="AC43" s="42">
        <v>45700</v>
      </c>
      <c r="AD43" s="42">
        <v>45754</v>
      </c>
      <c r="AE43" s="42">
        <v>45738</v>
      </c>
      <c r="AF43" s="23">
        <f t="shared" si="0"/>
        <v>54</v>
      </c>
      <c r="AG43" s="24" t="s">
        <v>101</v>
      </c>
      <c r="AH43" s="20">
        <v>80000</v>
      </c>
      <c r="AI43" s="20"/>
      <c r="AJ43" s="20"/>
      <c r="AK43" s="40">
        <v>8945</v>
      </c>
      <c r="AL43" s="44">
        <v>0</v>
      </c>
      <c r="AM43" s="44">
        <v>88945</v>
      </c>
      <c r="AN43" s="25" t="s">
        <v>55</v>
      </c>
    </row>
    <row r="44" spans="1:42" s="31" customFormat="1" ht="30" customHeight="1">
      <c r="A44" s="16"/>
      <c r="B44" s="17">
        <v>43</v>
      </c>
      <c r="C44" s="16"/>
      <c r="D44" s="16" t="s">
        <v>159</v>
      </c>
      <c r="E44" s="19" t="s">
        <v>160</v>
      </c>
      <c r="F44" s="16" t="s">
        <v>161</v>
      </c>
      <c r="G44" s="16"/>
      <c r="H44" s="16"/>
      <c r="I44" s="16" t="s">
        <v>162</v>
      </c>
      <c r="J44" s="41" t="s">
        <v>45</v>
      </c>
      <c r="K44" s="34" t="s">
        <v>163</v>
      </c>
      <c r="L44" s="34"/>
      <c r="M44" s="34" t="s">
        <v>74</v>
      </c>
      <c r="N44" s="45" t="s">
        <v>164</v>
      </c>
      <c r="O44" s="34" t="s">
        <v>165</v>
      </c>
      <c r="P44" s="34" t="s">
        <v>46</v>
      </c>
      <c r="Q44" s="34" t="s">
        <v>166</v>
      </c>
      <c r="R44" s="20" t="s">
        <v>48</v>
      </c>
      <c r="S44" s="46">
        <v>43</v>
      </c>
      <c r="T44" s="34">
        <v>2166</v>
      </c>
      <c r="U44" s="47"/>
      <c r="V44" s="34" t="s">
        <v>167</v>
      </c>
      <c r="W44" s="40">
        <v>415</v>
      </c>
      <c r="X44" s="20" t="s">
        <v>90</v>
      </c>
      <c r="Y44" s="20" t="s">
        <v>51</v>
      </c>
      <c r="Z44" s="40" t="s">
        <v>52</v>
      </c>
      <c r="AA44" s="34" t="s">
        <v>168</v>
      </c>
      <c r="AB44" s="40" t="s">
        <v>131</v>
      </c>
      <c r="AC44" s="42">
        <v>45710</v>
      </c>
      <c r="AD44" s="42">
        <v>45758</v>
      </c>
      <c r="AE44" s="42">
        <v>45776</v>
      </c>
      <c r="AF44" s="23">
        <f t="shared" si="0"/>
        <v>48</v>
      </c>
      <c r="AG44" s="24" t="s">
        <v>101</v>
      </c>
      <c r="AH44" s="20">
        <v>80000</v>
      </c>
      <c r="AI44" s="20"/>
      <c r="AJ44" s="20"/>
      <c r="AK44" s="40">
        <v>9045</v>
      </c>
      <c r="AL44" s="44">
        <v>11200</v>
      </c>
      <c r="AM44" s="44">
        <v>100245</v>
      </c>
      <c r="AN44" s="31" t="s">
        <v>132</v>
      </c>
    </row>
    <row r="45" spans="1:42" s="31" customFormat="1" ht="29.5" customHeight="1">
      <c r="A45" s="16"/>
      <c r="B45" s="17">
        <v>44</v>
      </c>
      <c r="C45" s="16"/>
      <c r="D45" s="16" t="s">
        <v>169</v>
      </c>
      <c r="E45" s="19" t="s">
        <v>170</v>
      </c>
      <c r="F45" s="19" t="s">
        <v>65</v>
      </c>
      <c r="G45" s="16"/>
      <c r="H45" s="16"/>
      <c r="I45" s="16" t="s">
        <v>171</v>
      </c>
      <c r="J45" s="19" t="s">
        <v>126</v>
      </c>
      <c r="K45" s="34" t="s">
        <v>172</v>
      </c>
      <c r="L45" s="34"/>
      <c r="M45" s="34" t="s">
        <v>74</v>
      </c>
      <c r="N45" s="34" t="s">
        <v>173</v>
      </c>
      <c r="O45" s="34" t="s">
        <v>174</v>
      </c>
      <c r="P45" s="34" t="s">
        <v>46</v>
      </c>
      <c r="Q45" s="34" t="s">
        <v>175</v>
      </c>
      <c r="R45" s="20" t="s">
        <v>48</v>
      </c>
      <c r="S45" s="40">
        <v>625</v>
      </c>
      <c r="T45" s="29">
        <v>3419</v>
      </c>
      <c r="U45" s="40"/>
      <c r="V45" s="34" t="s">
        <v>176</v>
      </c>
      <c r="W45" s="40">
        <v>372</v>
      </c>
      <c r="X45" s="20" t="s">
        <v>90</v>
      </c>
      <c r="Y45" s="40" t="s">
        <v>141</v>
      </c>
      <c r="Z45" s="40" t="s">
        <v>52</v>
      </c>
      <c r="AA45" s="34">
        <v>0</v>
      </c>
      <c r="AB45" s="40" t="s">
        <v>177</v>
      </c>
      <c r="AC45" s="42">
        <v>45688</v>
      </c>
      <c r="AD45" s="42">
        <v>45798</v>
      </c>
      <c r="AE45" s="42">
        <v>45790</v>
      </c>
      <c r="AF45" s="23">
        <f t="shared" si="0"/>
        <v>110</v>
      </c>
      <c r="AG45" s="24" t="s">
        <v>54</v>
      </c>
      <c r="AH45" s="40">
        <v>0</v>
      </c>
      <c r="AI45" s="40"/>
      <c r="AJ45" s="40"/>
      <c r="AK45" s="40">
        <v>5945</v>
      </c>
      <c r="AL45" s="44">
        <v>1038640.9600000001</v>
      </c>
      <c r="AM45" s="44">
        <v>1044585.9600000001</v>
      </c>
      <c r="AN45" s="25" t="s">
        <v>55</v>
      </c>
    </row>
    <row r="46" spans="1:42" s="31" customFormat="1" ht="30" customHeight="1">
      <c r="A46" s="48"/>
      <c r="B46" s="17">
        <v>45</v>
      </c>
      <c r="C46" s="16"/>
      <c r="D46" s="16" t="s">
        <v>178</v>
      </c>
      <c r="E46" s="19" t="s">
        <v>179</v>
      </c>
      <c r="F46" s="19" t="s">
        <v>70</v>
      </c>
      <c r="G46" s="16"/>
      <c r="H46" s="16"/>
      <c r="I46" s="16" t="s">
        <v>180</v>
      </c>
      <c r="J46" s="19" t="s">
        <v>126</v>
      </c>
      <c r="K46" s="34" t="s">
        <v>181</v>
      </c>
      <c r="L46" s="34"/>
      <c r="M46" s="34" t="s">
        <v>74</v>
      </c>
      <c r="N46" s="34" t="s">
        <v>182</v>
      </c>
      <c r="O46" s="34"/>
      <c r="P46" s="34" t="s">
        <v>46</v>
      </c>
      <c r="Q46" s="34" t="s">
        <v>153</v>
      </c>
      <c r="R46" s="20" t="s">
        <v>48</v>
      </c>
      <c r="S46" s="34">
        <v>43</v>
      </c>
      <c r="T46" s="40">
        <v>3667</v>
      </c>
      <c r="U46" s="34" t="s">
        <v>183</v>
      </c>
      <c r="V46" s="34" t="s">
        <v>184</v>
      </c>
      <c r="W46" s="40">
        <v>1488</v>
      </c>
      <c r="X46" s="20" t="s">
        <v>123</v>
      </c>
      <c r="Y46" s="40" t="s">
        <v>141</v>
      </c>
      <c r="Z46" s="40" t="s">
        <v>52</v>
      </c>
      <c r="AA46" s="34">
        <v>0</v>
      </c>
      <c r="AB46" s="40" t="s">
        <v>185</v>
      </c>
      <c r="AC46" s="42">
        <v>45717</v>
      </c>
      <c r="AD46" s="42">
        <v>45807</v>
      </c>
      <c r="AE46" s="42">
        <v>45772</v>
      </c>
      <c r="AF46" s="23">
        <f t="shared" si="0"/>
        <v>90</v>
      </c>
      <c r="AG46" s="24" t="s">
        <v>101</v>
      </c>
      <c r="AH46" s="40">
        <v>0</v>
      </c>
      <c r="AI46" s="40"/>
      <c r="AJ46" s="40"/>
      <c r="AK46" s="40">
        <v>5945</v>
      </c>
      <c r="AL46" s="44">
        <v>1038640.9600000001</v>
      </c>
      <c r="AM46" s="44">
        <v>1044585.9600000001</v>
      </c>
      <c r="AN46" s="31" t="s">
        <v>132</v>
      </c>
    </row>
    <row r="47" spans="1:42" s="31" customFormat="1" ht="30" customHeight="1">
      <c r="A47" s="16"/>
      <c r="B47" s="17">
        <v>46</v>
      </c>
      <c r="C47" s="16"/>
      <c r="D47" s="49" t="s">
        <v>186</v>
      </c>
      <c r="E47" s="19" t="s">
        <v>187</v>
      </c>
      <c r="F47" s="19" t="s">
        <v>65</v>
      </c>
      <c r="G47" s="19" t="s">
        <v>71</v>
      </c>
      <c r="H47" s="16"/>
      <c r="I47" s="16" t="s">
        <v>188</v>
      </c>
      <c r="J47" s="41" t="s">
        <v>45</v>
      </c>
      <c r="K47" s="34" t="s">
        <v>189</v>
      </c>
      <c r="L47" s="34"/>
      <c r="M47" s="34" t="s">
        <v>74</v>
      </c>
      <c r="N47" s="34" t="s">
        <v>190</v>
      </c>
      <c r="O47" s="34" t="s">
        <v>191</v>
      </c>
      <c r="P47" s="34" t="s">
        <v>46</v>
      </c>
      <c r="Q47" s="34" t="s">
        <v>78</v>
      </c>
      <c r="R47" s="20" t="s">
        <v>48</v>
      </c>
      <c r="S47" s="40">
        <v>471</v>
      </c>
      <c r="T47" s="40">
        <v>3716</v>
      </c>
      <c r="U47" s="40"/>
      <c r="V47" s="20" t="s">
        <v>83</v>
      </c>
      <c r="W47" s="40">
        <v>3710</v>
      </c>
      <c r="X47" s="20" t="s">
        <v>94</v>
      </c>
      <c r="Y47" s="20" t="s">
        <v>51</v>
      </c>
      <c r="Z47" s="40" t="s">
        <v>52</v>
      </c>
      <c r="AA47" s="34" t="s">
        <v>192</v>
      </c>
      <c r="AB47" s="20" t="s">
        <v>80</v>
      </c>
      <c r="AC47" s="42">
        <v>45658</v>
      </c>
      <c r="AD47" s="42">
        <v>45811</v>
      </c>
      <c r="AE47" s="42">
        <v>45765</v>
      </c>
      <c r="AF47" s="23">
        <f t="shared" si="0"/>
        <v>153</v>
      </c>
      <c r="AG47" s="24" t="s">
        <v>54</v>
      </c>
      <c r="AH47" s="20">
        <v>80000</v>
      </c>
      <c r="AI47" s="20"/>
      <c r="AJ47" s="20"/>
      <c r="AK47" s="40">
        <v>8945</v>
      </c>
      <c r="AL47" s="44">
        <v>0</v>
      </c>
      <c r="AM47" s="44">
        <v>88945</v>
      </c>
      <c r="AN47" s="25" t="s">
        <v>55</v>
      </c>
    </row>
    <row r="48" spans="1:42" ht="30" customHeight="1">
      <c r="A48" s="16"/>
      <c r="B48" s="17">
        <v>47</v>
      </c>
      <c r="C48" s="16"/>
      <c r="D48" s="16" t="s">
        <v>193</v>
      </c>
      <c r="E48" s="19" t="s">
        <v>194</v>
      </c>
      <c r="F48" s="16" t="s">
        <v>148</v>
      </c>
      <c r="G48" s="16" t="s">
        <v>71</v>
      </c>
      <c r="H48" s="16"/>
      <c r="I48" s="16" t="s">
        <v>195</v>
      </c>
      <c r="J48" s="41" t="s">
        <v>45</v>
      </c>
      <c r="K48" s="34" t="s">
        <v>196</v>
      </c>
      <c r="L48" s="34"/>
      <c r="M48" s="34" t="s">
        <v>74</v>
      </c>
      <c r="N48" s="34" t="s">
        <v>197</v>
      </c>
      <c r="O48" s="34" t="s">
        <v>198</v>
      </c>
      <c r="P48" s="34" t="s">
        <v>46</v>
      </c>
      <c r="Q48" s="20" t="s">
        <v>47</v>
      </c>
      <c r="R48" s="20" t="s">
        <v>48</v>
      </c>
      <c r="S48" s="34">
        <v>602</v>
      </c>
      <c r="T48" s="34">
        <v>4384</v>
      </c>
      <c r="U48" s="34"/>
      <c r="V48" s="20" t="s">
        <v>199</v>
      </c>
      <c r="W48" s="34">
        <v>2041</v>
      </c>
      <c r="X48" s="20" t="s">
        <v>60</v>
      </c>
      <c r="Y48" s="20" t="s">
        <v>51</v>
      </c>
      <c r="Z48" s="34" t="s">
        <v>52</v>
      </c>
      <c r="AA48" s="34"/>
      <c r="AB48" s="20" t="s">
        <v>47</v>
      </c>
      <c r="AC48" s="42">
        <v>45761</v>
      </c>
      <c r="AD48" s="42">
        <v>45845</v>
      </c>
      <c r="AE48" s="42">
        <v>45785</v>
      </c>
      <c r="AF48" s="23">
        <f t="shared" si="0"/>
        <v>84</v>
      </c>
      <c r="AG48" s="24" t="s">
        <v>101</v>
      </c>
      <c r="AH48" s="20">
        <v>80000</v>
      </c>
      <c r="AI48" s="20"/>
      <c r="AJ48" s="20"/>
      <c r="AK48" s="34">
        <v>9045</v>
      </c>
      <c r="AL48" s="50">
        <v>108782</v>
      </c>
      <c r="AM48" s="50">
        <v>197827</v>
      </c>
      <c r="AN48" s="25" t="s">
        <v>55</v>
      </c>
    </row>
    <row r="49" spans="1:40" s="31" customFormat="1" ht="30" customHeight="1">
      <c r="A49" s="16"/>
      <c r="B49" s="17">
        <v>48</v>
      </c>
      <c r="C49" s="16"/>
      <c r="D49" s="49" t="s">
        <v>200</v>
      </c>
      <c r="E49" s="19" t="s">
        <v>201</v>
      </c>
      <c r="F49" s="19" t="s">
        <v>58</v>
      </c>
      <c r="G49" s="16" t="s">
        <v>202</v>
      </c>
      <c r="H49" s="16"/>
      <c r="I49" s="49" t="s">
        <v>203</v>
      </c>
      <c r="J49" s="19" t="s">
        <v>126</v>
      </c>
      <c r="K49" s="51" t="s">
        <v>204</v>
      </c>
      <c r="L49" s="34"/>
      <c r="M49" s="34" t="s">
        <v>74</v>
      </c>
      <c r="N49" s="51" t="s">
        <v>205</v>
      </c>
      <c r="O49" s="51" t="s">
        <v>206</v>
      </c>
      <c r="P49" s="34" t="s">
        <v>46</v>
      </c>
      <c r="Q49" s="34" t="s">
        <v>207</v>
      </c>
      <c r="R49" s="20" t="s">
        <v>48</v>
      </c>
      <c r="S49" s="40">
        <v>602</v>
      </c>
      <c r="T49" s="40">
        <v>3888</v>
      </c>
      <c r="U49" s="40"/>
      <c r="V49" s="34" t="s">
        <v>208</v>
      </c>
      <c r="W49" s="40">
        <v>614</v>
      </c>
      <c r="X49" s="20" t="s">
        <v>90</v>
      </c>
      <c r="Y49" s="20" t="s">
        <v>51</v>
      </c>
      <c r="Z49" s="40" t="s">
        <v>52</v>
      </c>
      <c r="AA49" s="34" t="s">
        <v>209</v>
      </c>
      <c r="AB49" s="20" t="s">
        <v>210</v>
      </c>
      <c r="AC49" s="42">
        <v>45791</v>
      </c>
      <c r="AD49" s="52">
        <v>45838</v>
      </c>
      <c r="AE49" s="42">
        <v>45821</v>
      </c>
      <c r="AF49" s="23">
        <f t="shared" si="0"/>
        <v>47</v>
      </c>
      <c r="AG49" s="24" t="s">
        <v>101</v>
      </c>
      <c r="AH49" s="20">
        <v>80000</v>
      </c>
      <c r="AI49" s="20"/>
      <c r="AJ49" s="20"/>
      <c r="AK49" s="40">
        <v>9045</v>
      </c>
      <c r="AL49" s="44">
        <v>108782</v>
      </c>
      <c r="AM49" s="44">
        <v>197827</v>
      </c>
      <c r="AN49" s="31" t="s">
        <v>132</v>
      </c>
    </row>
    <row r="50" spans="1:40" s="31" customFormat="1" ht="30" customHeight="1">
      <c r="A50" s="16"/>
      <c r="B50" s="17">
        <v>49</v>
      </c>
      <c r="C50" s="16"/>
      <c r="D50" s="16" t="s">
        <v>211</v>
      </c>
      <c r="E50" s="19" t="s">
        <v>42</v>
      </c>
      <c r="F50" s="19" t="s">
        <v>42</v>
      </c>
      <c r="G50" s="19" t="s">
        <v>71</v>
      </c>
      <c r="H50" s="16"/>
      <c r="I50" s="16" t="s">
        <v>212</v>
      </c>
      <c r="J50" s="41" t="s">
        <v>45</v>
      </c>
      <c r="K50" s="34" t="s">
        <v>77</v>
      </c>
      <c r="L50" s="34"/>
      <c r="M50" s="34" t="s">
        <v>74</v>
      </c>
      <c r="N50" s="53" t="s">
        <v>213</v>
      </c>
      <c r="O50" s="53" t="s">
        <v>214</v>
      </c>
      <c r="P50" s="34" t="s">
        <v>46</v>
      </c>
      <c r="Q50" s="34" t="s">
        <v>78</v>
      </c>
      <c r="R50" s="20" t="s">
        <v>48</v>
      </c>
      <c r="S50" s="40">
        <v>471</v>
      </c>
      <c r="T50" s="40">
        <v>2126</v>
      </c>
      <c r="U50" s="40"/>
      <c r="V50" s="20" t="s">
        <v>83</v>
      </c>
      <c r="W50" s="40">
        <v>194</v>
      </c>
      <c r="X50" s="20" t="s">
        <v>90</v>
      </c>
      <c r="Y50" s="20" t="s">
        <v>51</v>
      </c>
      <c r="Z50" s="40" t="s">
        <v>52</v>
      </c>
      <c r="AA50" s="34" t="s">
        <v>215</v>
      </c>
      <c r="AB50" s="20" t="s">
        <v>80</v>
      </c>
      <c r="AC50" s="42">
        <v>45689</v>
      </c>
      <c r="AD50" s="42">
        <v>45757</v>
      </c>
      <c r="AE50" s="42">
        <v>45756</v>
      </c>
      <c r="AF50" s="23">
        <f t="shared" si="0"/>
        <v>68</v>
      </c>
      <c r="AG50" s="24" t="s">
        <v>101</v>
      </c>
      <c r="AH50" s="20">
        <v>80000</v>
      </c>
      <c r="AI50" s="20"/>
      <c r="AJ50" s="20"/>
      <c r="AK50" s="40">
        <v>8945</v>
      </c>
      <c r="AL50" s="44">
        <v>0</v>
      </c>
      <c r="AM50" s="44">
        <v>88945</v>
      </c>
      <c r="AN50" s="25" t="s">
        <v>55</v>
      </c>
    </row>
    <row r="51" spans="1:40" s="31" customFormat="1" ht="36.65" customHeight="1">
      <c r="A51" s="16"/>
      <c r="B51" s="17">
        <v>50</v>
      </c>
      <c r="C51" s="16"/>
      <c r="D51" s="16" t="s">
        <v>216</v>
      </c>
      <c r="E51" s="19" t="s">
        <v>98</v>
      </c>
      <c r="F51" s="19" t="s">
        <v>98</v>
      </c>
      <c r="G51" s="16" t="s">
        <v>202</v>
      </c>
      <c r="H51" s="16"/>
      <c r="I51" s="16" t="s">
        <v>217</v>
      </c>
      <c r="J51" s="19" t="s">
        <v>126</v>
      </c>
      <c r="K51" s="34" t="s">
        <v>218</v>
      </c>
      <c r="L51" s="34"/>
      <c r="M51" s="34" t="s">
        <v>74</v>
      </c>
      <c r="N51" s="34" t="s">
        <v>218</v>
      </c>
      <c r="O51" s="34" t="s">
        <v>219</v>
      </c>
      <c r="P51" s="34" t="s">
        <v>46</v>
      </c>
      <c r="Q51" s="34" t="s">
        <v>207</v>
      </c>
      <c r="R51" s="20" t="s">
        <v>48</v>
      </c>
      <c r="S51" s="40">
        <v>275</v>
      </c>
      <c r="T51" s="40">
        <v>3370</v>
      </c>
      <c r="U51" s="40"/>
      <c r="V51" s="34" t="s">
        <v>208</v>
      </c>
      <c r="W51" s="40">
        <v>320</v>
      </c>
      <c r="X51" s="20" t="s">
        <v>90</v>
      </c>
      <c r="Y51" s="20" t="s">
        <v>51</v>
      </c>
      <c r="Z51" s="40" t="s">
        <v>220</v>
      </c>
      <c r="AA51" s="34" t="s">
        <v>221</v>
      </c>
      <c r="AB51" s="20" t="s">
        <v>210</v>
      </c>
      <c r="AC51" s="42">
        <v>45759</v>
      </c>
      <c r="AD51" s="42">
        <v>45792</v>
      </c>
      <c r="AE51" s="42">
        <v>45794</v>
      </c>
      <c r="AF51" s="23">
        <f t="shared" si="0"/>
        <v>33</v>
      </c>
      <c r="AG51" s="24" t="s">
        <v>101</v>
      </c>
      <c r="AH51" s="20">
        <v>80000</v>
      </c>
      <c r="AI51" s="20"/>
      <c r="AJ51" s="20"/>
      <c r="AK51" s="40">
        <v>9045</v>
      </c>
      <c r="AL51" s="44">
        <v>108782</v>
      </c>
      <c r="AM51" s="44">
        <v>197827</v>
      </c>
      <c r="AN51" s="31" t="s">
        <v>132</v>
      </c>
    </row>
    <row r="52" spans="1:40" s="31" customFormat="1" ht="30" customHeight="1">
      <c r="A52" s="16"/>
      <c r="B52" s="17">
        <v>51</v>
      </c>
      <c r="C52" s="16"/>
      <c r="D52" s="49" t="s">
        <v>222</v>
      </c>
      <c r="E52" s="19" t="s">
        <v>170</v>
      </c>
      <c r="F52" s="19" t="s">
        <v>65</v>
      </c>
      <c r="G52" s="16"/>
      <c r="H52" s="16"/>
      <c r="I52" s="54" t="s">
        <v>223</v>
      </c>
      <c r="J52" s="19" t="s">
        <v>126</v>
      </c>
      <c r="K52" s="51" t="s">
        <v>224</v>
      </c>
      <c r="L52" s="34"/>
      <c r="M52" s="34" t="s">
        <v>74</v>
      </c>
      <c r="N52" s="51" t="s">
        <v>225</v>
      </c>
      <c r="O52" s="51" t="s">
        <v>226</v>
      </c>
      <c r="P52" s="34" t="s">
        <v>46</v>
      </c>
      <c r="Q52" s="34" t="s">
        <v>227</v>
      </c>
      <c r="R52" s="20" t="s">
        <v>48</v>
      </c>
      <c r="S52" s="40">
        <v>708</v>
      </c>
      <c r="T52" s="40">
        <v>4106</v>
      </c>
      <c r="U52" s="40"/>
      <c r="V52" s="40" t="s">
        <v>140</v>
      </c>
      <c r="W52" s="40">
        <v>3801</v>
      </c>
      <c r="X52" s="20" t="s">
        <v>94</v>
      </c>
      <c r="Y52" s="40" t="s">
        <v>141</v>
      </c>
      <c r="Z52" s="40" t="s">
        <v>52</v>
      </c>
      <c r="AA52" s="34">
        <v>0</v>
      </c>
      <c r="AB52" s="40" t="s">
        <v>139</v>
      </c>
      <c r="AC52" s="42">
        <v>45784</v>
      </c>
      <c r="AD52" s="42">
        <v>45834</v>
      </c>
      <c r="AE52" s="42">
        <v>45808</v>
      </c>
      <c r="AF52" s="23">
        <f t="shared" si="0"/>
        <v>50</v>
      </c>
      <c r="AG52" s="24" t="s">
        <v>101</v>
      </c>
      <c r="AH52" s="40">
        <v>0</v>
      </c>
      <c r="AI52" s="40"/>
      <c r="AJ52" s="40"/>
      <c r="AK52" s="40">
        <v>5945</v>
      </c>
      <c r="AL52" s="44">
        <v>1038640.9600000001</v>
      </c>
      <c r="AM52" s="44">
        <v>1044585.9600000001</v>
      </c>
      <c r="AN52" s="31" t="s">
        <v>132</v>
      </c>
    </row>
    <row r="53" spans="1:40" s="31" customFormat="1" ht="30" customHeight="1">
      <c r="A53" s="48"/>
      <c r="B53" s="17">
        <v>52</v>
      </c>
      <c r="C53" s="16"/>
      <c r="D53" s="16" t="s">
        <v>228</v>
      </c>
      <c r="E53" s="19" t="s">
        <v>42</v>
      </c>
      <c r="F53" s="19" t="s">
        <v>42</v>
      </c>
      <c r="G53" s="16"/>
      <c r="H53" s="16"/>
      <c r="I53" s="19" t="s">
        <v>229</v>
      </c>
      <c r="J53" s="19" t="s">
        <v>126</v>
      </c>
      <c r="K53" s="51" t="s">
        <v>230</v>
      </c>
      <c r="L53" s="34"/>
      <c r="M53" s="34" t="s">
        <v>74</v>
      </c>
      <c r="N53" s="51"/>
      <c r="O53" s="51" t="s">
        <v>231</v>
      </c>
      <c r="P53" s="34" t="s">
        <v>46</v>
      </c>
      <c r="Q53" s="34" t="s">
        <v>227</v>
      </c>
      <c r="R53" s="20" t="s">
        <v>48</v>
      </c>
      <c r="S53" s="40">
        <v>704</v>
      </c>
      <c r="T53" s="40">
        <v>4104</v>
      </c>
      <c r="U53" s="34" t="s">
        <v>232</v>
      </c>
      <c r="V53" s="34" t="s">
        <v>184</v>
      </c>
      <c r="W53" s="40">
        <v>1885</v>
      </c>
      <c r="X53" s="20" t="s">
        <v>123</v>
      </c>
      <c r="Y53" s="40" t="s">
        <v>141</v>
      </c>
      <c r="Z53" s="40" t="s">
        <v>52</v>
      </c>
      <c r="AA53" s="34">
        <v>0</v>
      </c>
      <c r="AB53" s="40" t="s">
        <v>185</v>
      </c>
      <c r="AC53" s="42">
        <v>45775</v>
      </c>
      <c r="AD53" s="42">
        <v>45833</v>
      </c>
      <c r="AE53" s="42">
        <v>45798</v>
      </c>
      <c r="AF53" s="23">
        <f t="shared" si="0"/>
        <v>58</v>
      </c>
      <c r="AG53" s="24" t="s">
        <v>101</v>
      </c>
      <c r="AH53" s="40">
        <v>0</v>
      </c>
      <c r="AI53" s="40"/>
      <c r="AJ53" s="40"/>
      <c r="AK53" s="40">
        <v>5945</v>
      </c>
      <c r="AL53" s="44">
        <v>1038640.9600000001</v>
      </c>
      <c r="AM53" s="44">
        <v>1044585.9600000001</v>
      </c>
      <c r="AN53" s="31" t="s">
        <v>132</v>
      </c>
    </row>
    <row r="54" spans="1:40" s="31" customFormat="1" ht="30" customHeight="1">
      <c r="A54" s="16"/>
      <c r="B54" s="17">
        <v>53</v>
      </c>
      <c r="C54" s="16"/>
      <c r="D54" s="16" t="s">
        <v>233</v>
      </c>
      <c r="E54" s="19" t="s">
        <v>234</v>
      </c>
      <c r="F54" s="49" t="s">
        <v>235</v>
      </c>
      <c r="G54" s="16"/>
      <c r="H54" s="16"/>
      <c r="I54" s="49" t="s">
        <v>236</v>
      </c>
      <c r="J54" s="19" t="s">
        <v>126</v>
      </c>
      <c r="K54" s="34" t="s">
        <v>237</v>
      </c>
      <c r="L54" s="34"/>
      <c r="M54" s="34" t="s">
        <v>74</v>
      </c>
      <c r="N54" s="34" t="s">
        <v>238</v>
      </c>
      <c r="O54" s="34" t="s">
        <v>239</v>
      </c>
      <c r="P54" s="34" t="s">
        <v>46</v>
      </c>
      <c r="Q54" s="34" t="s">
        <v>240</v>
      </c>
      <c r="R54" s="20" t="s">
        <v>48</v>
      </c>
      <c r="S54" s="40">
        <v>704</v>
      </c>
      <c r="T54" s="40">
        <v>4369</v>
      </c>
      <c r="U54" s="34" t="s">
        <v>241</v>
      </c>
      <c r="V54" s="34" t="s">
        <v>242</v>
      </c>
      <c r="W54" s="40">
        <v>49</v>
      </c>
      <c r="X54" s="20" t="s">
        <v>90</v>
      </c>
      <c r="Y54" s="40" t="s">
        <v>141</v>
      </c>
      <c r="Z54" s="40" t="s">
        <v>52</v>
      </c>
      <c r="AA54" s="34">
        <v>0</v>
      </c>
      <c r="AB54" s="40" t="s">
        <v>185</v>
      </c>
      <c r="AC54" s="42">
        <v>45824</v>
      </c>
      <c r="AD54" s="42">
        <v>45845</v>
      </c>
      <c r="AE54" s="42">
        <v>45834</v>
      </c>
      <c r="AF54" s="23">
        <f t="shared" si="0"/>
        <v>21</v>
      </c>
      <c r="AG54" s="24" t="s">
        <v>101</v>
      </c>
      <c r="AH54" s="40">
        <v>0</v>
      </c>
      <c r="AI54" s="40"/>
      <c r="AJ54" s="40"/>
      <c r="AK54" s="40">
        <v>5945</v>
      </c>
      <c r="AL54" s="44">
        <v>1038640.9600000001</v>
      </c>
      <c r="AM54" s="44">
        <v>1044585.9600000001</v>
      </c>
      <c r="AN54" s="31" t="s">
        <v>132</v>
      </c>
    </row>
    <row r="55" spans="1:40" s="31" customFormat="1" ht="30" customHeight="1">
      <c r="A55" s="16"/>
      <c r="B55" s="17">
        <v>54</v>
      </c>
      <c r="C55" s="16"/>
      <c r="D55" s="16" t="s">
        <v>243</v>
      </c>
      <c r="E55" s="19" t="s">
        <v>244</v>
      </c>
      <c r="F55" s="49" t="s">
        <v>244</v>
      </c>
      <c r="G55" s="16" t="s">
        <v>71</v>
      </c>
      <c r="H55" s="16"/>
      <c r="I55" s="16" t="s">
        <v>245</v>
      </c>
      <c r="J55" s="19" t="s">
        <v>126</v>
      </c>
      <c r="K55" s="34" t="s">
        <v>246</v>
      </c>
      <c r="L55" s="34"/>
      <c r="M55" s="34" t="s">
        <v>74</v>
      </c>
      <c r="N55" s="34" t="s">
        <v>247</v>
      </c>
      <c r="O55" s="34"/>
      <c r="P55" s="34" t="s">
        <v>46</v>
      </c>
      <c r="Q55" s="34" t="s">
        <v>248</v>
      </c>
      <c r="R55" s="20" t="s">
        <v>48</v>
      </c>
      <c r="S55" s="40">
        <v>575</v>
      </c>
      <c r="T55" s="40">
        <v>4377</v>
      </c>
      <c r="U55" s="40"/>
      <c r="V55" s="20" t="s">
        <v>249</v>
      </c>
      <c r="W55" s="40">
        <v>572</v>
      </c>
      <c r="X55" s="20" t="s">
        <v>90</v>
      </c>
      <c r="Y55" s="20" t="s">
        <v>51</v>
      </c>
      <c r="Z55" s="40" t="s">
        <v>52</v>
      </c>
      <c r="AA55" s="34" t="s">
        <v>250</v>
      </c>
      <c r="AB55" s="55" t="s">
        <v>251</v>
      </c>
      <c r="AC55" s="42">
        <v>45804</v>
      </c>
      <c r="AD55" s="42">
        <v>45844</v>
      </c>
      <c r="AE55" s="42">
        <v>45822</v>
      </c>
      <c r="AF55" s="23">
        <f t="shared" si="0"/>
        <v>40</v>
      </c>
      <c r="AG55" s="24" t="s">
        <v>101</v>
      </c>
      <c r="AH55" s="20">
        <v>80000</v>
      </c>
      <c r="AI55" s="20"/>
      <c r="AJ55" s="20"/>
      <c r="AK55" s="40">
        <v>9045</v>
      </c>
      <c r="AL55" s="44">
        <v>75140</v>
      </c>
      <c r="AM55" s="44">
        <v>164185</v>
      </c>
      <c r="AN55" s="25" t="s">
        <v>55</v>
      </c>
    </row>
    <row r="56" spans="1:40" s="31" customFormat="1" ht="30" customHeight="1">
      <c r="A56" s="16"/>
      <c r="B56" s="17">
        <v>55</v>
      </c>
      <c r="C56" s="16"/>
      <c r="D56" s="49" t="s">
        <v>252</v>
      </c>
      <c r="E56" s="19" t="s">
        <v>253</v>
      </c>
      <c r="F56" s="49" t="s">
        <v>116</v>
      </c>
      <c r="G56" s="16"/>
      <c r="H56" s="16"/>
      <c r="I56" s="49" t="s">
        <v>254</v>
      </c>
      <c r="J56" s="19" t="s">
        <v>126</v>
      </c>
      <c r="K56" s="34" t="s">
        <v>255</v>
      </c>
      <c r="L56" s="34"/>
      <c r="M56" s="34" t="s">
        <v>74</v>
      </c>
      <c r="N56" s="34" t="s">
        <v>256</v>
      </c>
      <c r="O56" s="34" t="s">
        <v>257</v>
      </c>
      <c r="P56" s="34" t="s">
        <v>46</v>
      </c>
      <c r="Q56" s="34" t="s">
        <v>258</v>
      </c>
      <c r="R56" s="20" t="s">
        <v>48</v>
      </c>
      <c r="S56" s="40">
        <v>708</v>
      </c>
      <c r="T56" s="40">
        <v>4537</v>
      </c>
      <c r="U56" s="34" t="s">
        <v>241</v>
      </c>
      <c r="V56" s="34" t="s">
        <v>242</v>
      </c>
      <c r="W56" s="40">
        <v>187</v>
      </c>
      <c r="X56" s="20" t="s">
        <v>90</v>
      </c>
      <c r="Y56" s="40" t="s">
        <v>141</v>
      </c>
      <c r="Z56" s="40" t="s">
        <v>52</v>
      </c>
      <c r="AA56" s="34">
        <v>0</v>
      </c>
      <c r="AB56" s="40" t="s">
        <v>185</v>
      </c>
      <c r="AC56" s="42">
        <v>45819</v>
      </c>
      <c r="AD56" s="42">
        <v>45834</v>
      </c>
      <c r="AE56" s="42">
        <v>45834</v>
      </c>
      <c r="AF56" s="23">
        <f t="shared" si="0"/>
        <v>15</v>
      </c>
      <c r="AG56" s="24" t="s">
        <v>101</v>
      </c>
      <c r="AH56" s="40">
        <v>0</v>
      </c>
      <c r="AI56" s="40"/>
      <c r="AJ56" s="40"/>
      <c r="AK56" s="40">
        <v>5945</v>
      </c>
      <c r="AL56" s="44">
        <v>1038640.9600000001</v>
      </c>
      <c r="AM56" s="44">
        <v>1044585.9600000001</v>
      </c>
      <c r="AN56" s="31" t="s">
        <v>132</v>
      </c>
    </row>
    <row r="57" spans="1:40" ht="30" customHeight="1">
      <c r="A57" s="16"/>
      <c r="B57" s="17">
        <v>56</v>
      </c>
      <c r="C57" s="16"/>
      <c r="D57" s="49" t="s">
        <v>178</v>
      </c>
      <c r="E57" s="19" t="s">
        <v>259</v>
      </c>
      <c r="F57" s="19" t="s">
        <v>58</v>
      </c>
      <c r="G57" s="16" t="s">
        <v>43</v>
      </c>
      <c r="H57" s="16"/>
      <c r="I57" s="49" t="s">
        <v>260</v>
      </c>
      <c r="J57" s="19" t="s">
        <v>126</v>
      </c>
      <c r="K57" s="34" t="s">
        <v>261</v>
      </c>
      <c r="L57" s="34"/>
      <c r="M57" s="34" t="s">
        <v>74</v>
      </c>
      <c r="N57" s="34" t="s">
        <v>262</v>
      </c>
      <c r="O57" s="34" t="s">
        <v>263</v>
      </c>
      <c r="P57" s="34" t="s">
        <v>46</v>
      </c>
      <c r="Q57" s="20" t="s">
        <v>47</v>
      </c>
      <c r="R57" s="20" t="s">
        <v>48</v>
      </c>
      <c r="S57" s="34">
        <v>696</v>
      </c>
      <c r="T57" s="34">
        <v>5170</v>
      </c>
      <c r="U57" s="34"/>
      <c r="V57" s="20" t="s">
        <v>49</v>
      </c>
      <c r="W57" s="34">
        <v>3770</v>
      </c>
      <c r="X57" s="20" t="s">
        <v>94</v>
      </c>
      <c r="Y57" s="20" t="s">
        <v>51</v>
      </c>
      <c r="Z57" s="34" t="s">
        <v>52</v>
      </c>
      <c r="AA57" s="34" t="s">
        <v>264</v>
      </c>
      <c r="AB57" s="20" t="s">
        <v>47</v>
      </c>
      <c r="AC57" s="42">
        <v>45706</v>
      </c>
      <c r="AD57" s="42">
        <v>45849</v>
      </c>
      <c r="AE57" s="42">
        <v>45772</v>
      </c>
      <c r="AF57" s="23">
        <f t="shared" si="0"/>
        <v>143</v>
      </c>
      <c r="AG57" s="24" t="s">
        <v>54</v>
      </c>
      <c r="AH57" s="20">
        <v>80000</v>
      </c>
      <c r="AI57" s="20"/>
      <c r="AJ57" s="20"/>
      <c r="AK57" s="34">
        <v>8945</v>
      </c>
      <c r="AL57" s="50">
        <v>815</v>
      </c>
      <c r="AM57" s="50">
        <v>89760</v>
      </c>
      <c r="AN57" s="25" t="s">
        <v>55</v>
      </c>
    </row>
    <row r="58" spans="1:40" s="31" customFormat="1" ht="30" customHeight="1">
      <c r="A58" s="48"/>
      <c r="B58" s="17">
        <v>57</v>
      </c>
      <c r="C58" s="16"/>
      <c r="D58" s="56" t="s">
        <v>265</v>
      </c>
      <c r="E58" s="19" t="s">
        <v>266</v>
      </c>
      <c r="F58" s="49" t="s">
        <v>244</v>
      </c>
      <c r="G58" s="16"/>
      <c r="H58" s="16"/>
      <c r="I58" s="56" t="s">
        <v>267</v>
      </c>
      <c r="J58" s="19" t="s">
        <v>126</v>
      </c>
      <c r="K58" s="57" t="s">
        <v>268</v>
      </c>
      <c r="L58" s="34"/>
      <c r="M58" s="34" t="s">
        <v>74</v>
      </c>
      <c r="N58" s="57" t="s">
        <v>269</v>
      </c>
      <c r="O58" s="57" t="s">
        <v>239</v>
      </c>
      <c r="P58" s="34" t="s">
        <v>46</v>
      </c>
      <c r="Q58" s="34" t="s">
        <v>153</v>
      </c>
      <c r="R58" s="20" t="s">
        <v>48</v>
      </c>
      <c r="S58" s="40">
        <v>800</v>
      </c>
      <c r="T58" s="40">
        <v>5764</v>
      </c>
      <c r="U58" s="40" t="s">
        <v>270</v>
      </c>
      <c r="V58" s="34" t="s">
        <v>184</v>
      </c>
      <c r="W58" s="40">
        <v>597</v>
      </c>
      <c r="X58" s="20" t="s">
        <v>90</v>
      </c>
      <c r="Y58" s="40" t="s">
        <v>141</v>
      </c>
      <c r="Z58" s="40" t="s">
        <v>52</v>
      </c>
      <c r="AA58" s="34">
        <v>0</v>
      </c>
      <c r="AB58" s="40" t="s">
        <v>185</v>
      </c>
      <c r="AC58" s="42">
        <v>45777</v>
      </c>
      <c r="AD58" s="42">
        <v>45880</v>
      </c>
      <c r="AE58" s="42">
        <v>45807</v>
      </c>
      <c r="AF58" s="23">
        <f t="shared" si="0"/>
        <v>103</v>
      </c>
      <c r="AG58" s="24" t="s">
        <v>54</v>
      </c>
      <c r="AH58" s="40">
        <v>0</v>
      </c>
      <c r="AI58" s="40"/>
      <c r="AJ58" s="40"/>
      <c r="AK58" s="40">
        <v>5945</v>
      </c>
      <c r="AL58" s="44">
        <v>1038640.9600000001</v>
      </c>
      <c r="AM58" s="44">
        <v>1044585.9600000001</v>
      </c>
      <c r="AN58" s="31" t="s">
        <v>132</v>
      </c>
    </row>
    <row r="59" spans="1:40" s="31" customFormat="1" ht="30" customHeight="1">
      <c r="A59" s="16"/>
      <c r="B59" s="17">
        <v>58</v>
      </c>
      <c r="C59" s="16"/>
      <c r="D59" s="56" t="s">
        <v>271</v>
      </c>
      <c r="E59" s="19" t="s">
        <v>244</v>
      </c>
      <c r="F59" s="49" t="s">
        <v>244</v>
      </c>
      <c r="G59" s="16" t="s">
        <v>71</v>
      </c>
      <c r="H59" s="16"/>
      <c r="I59" s="56" t="s">
        <v>272</v>
      </c>
      <c r="J59" s="19" t="s">
        <v>126</v>
      </c>
      <c r="K59" s="57" t="s">
        <v>145</v>
      </c>
      <c r="L59" s="34"/>
      <c r="M59" s="34" t="s">
        <v>74</v>
      </c>
      <c r="N59" s="57" t="s">
        <v>273</v>
      </c>
      <c r="O59" s="57" t="s">
        <v>274</v>
      </c>
      <c r="P59" s="34" t="s">
        <v>46</v>
      </c>
      <c r="Q59" s="34" t="s">
        <v>248</v>
      </c>
      <c r="R59" s="20" t="s">
        <v>48</v>
      </c>
      <c r="S59" s="40">
        <v>575</v>
      </c>
      <c r="T59" s="40">
        <v>7203</v>
      </c>
      <c r="U59" s="40"/>
      <c r="V59" s="20" t="s">
        <v>249</v>
      </c>
      <c r="W59" s="40">
        <v>6605</v>
      </c>
      <c r="X59" s="20" t="s">
        <v>97</v>
      </c>
      <c r="Y59" s="20" t="s">
        <v>51</v>
      </c>
      <c r="Z59" s="40" t="s">
        <v>275</v>
      </c>
      <c r="AA59" s="34" t="s">
        <v>276</v>
      </c>
      <c r="AB59" s="55" t="s">
        <v>251</v>
      </c>
      <c r="AC59" s="42">
        <v>45773</v>
      </c>
      <c r="AD59" s="42">
        <v>45926</v>
      </c>
      <c r="AE59" s="42">
        <v>45820</v>
      </c>
      <c r="AF59" s="23">
        <f t="shared" si="0"/>
        <v>153</v>
      </c>
      <c r="AG59" s="24" t="s">
        <v>54</v>
      </c>
      <c r="AH59" s="20">
        <v>80000</v>
      </c>
      <c r="AI59" s="20"/>
      <c r="AJ59" s="20"/>
      <c r="AK59" s="40">
        <v>9045</v>
      </c>
      <c r="AL59" s="44">
        <v>75140</v>
      </c>
      <c r="AM59" s="44">
        <v>164185</v>
      </c>
      <c r="AN59" s="25" t="s">
        <v>55</v>
      </c>
    </row>
    <row r="60" spans="1:40" s="31" customFormat="1" ht="30" customHeight="1">
      <c r="A60" s="16"/>
      <c r="B60" s="17">
        <v>59</v>
      </c>
      <c r="C60" s="16"/>
      <c r="D60" s="16" t="s">
        <v>124</v>
      </c>
      <c r="E60" s="19" t="s">
        <v>277</v>
      </c>
      <c r="F60" s="19" t="s">
        <v>92</v>
      </c>
      <c r="G60" s="16"/>
      <c r="H60" s="16"/>
      <c r="I60" s="16" t="s">
        <v>278</v>
      </c>
      <c r="J60" s="19" t="s">
        <v>126</v>
      </c>
      <c r="K60" s="34" t="s">
        <v>279</v>
      </c>
      <c r="L60" s="34"/>
      <c r="M60" s="34" t="s">
        <v>74</v>
      </c>
      <c r="N60" s="34" t="s">
        <v>280</v>
      </c>
      <c r="O60" s="34" t="s">
        <v>281</v>
      </c>
      <c r="P60" s="34" t="s">
        <v>46</v>
      </c>
      <c r="Q60" s="34" t="s">
        <v>153</v>
      </c>
      <c r="R60" s="20" t="s">
        <v>48</v>
      </c>
      <c r="S60" s="40">
        <v>708</v>
      </c>
      <c r="T60" s="40">
        <v>6459</v>
      </c>
      <c r="U60" s="40" t="s">
        <v>185</v>
      </c>
      <c r="V60" s="34" t="s">
        <v>242</v>
      </c>
      <c r="W60" s="40">
        <v>184</v>
      </c>
      <c r="X60" s="20" t="s">
        <v>90</v>
      </c>
      <c r="Y60" s="40" t="s">
        <v>141</v>
      </c>
      <c r="Z60" s="40" t="s">
        <v>52</v>
      </c>
      <c r="AA60" s="34">
        <v>0</v>
      </c>
      <c r="AB60" s="40" t="s">
        <v>185</v>
      </c>
      <c r="AC60" s="42">
        <v>45801</v>
      </c>
      <c r="AD60" s="42">
        <v>45905</v>
      </c>
      <c r="AE60" s="42">
        <v>45857</v>
      </c>
      <c r="AF60" s="23">
        <f t="shared" si="0"/>
        <v>104</v>
      </c>
      <c r="AG60" s="24" t="s">
        <v>54</v>
      </c>
      <c r="AH60" s="40">
        <v>0</v>
      </c>
      <c r="AI60" s="40"/>
      <c r="AJ60" s="40"/>
      <c r="AK60" s="40">
        <v>5945</v>
      </c>
      <c r="AL60" s="44">
        <v>1038640.9600000001</v>
      </c>
      <c r="AM60" s="44">
        <v>1044585.9600000001</v>
      </c>
      <c r="AN60" s="31" t="s">
        <v>132</v>
      </c>
    </row>
    <row r="61" spans="1:40" ht="30" customHeight="1">
      <c r="A61" s="16"/>
      <c r="B61" s="17">
        <v>60</v>
      </c>
      <c r="C61" s="16"/>
      <c r="D61" s="16" t="s">
        <v>282</v>
      </c>
      <c r="E61" s="19" t="s">
        <v>283</v>
      </c>
      <c r="F61" s="19" t="s">
        <v>92</v>
      </c>
      <c r="G61" s="19" t="s">
        <v>135</v>
      </c>
      <c r="H61" s="16"/>
      <c r="I61" s="16" t="s">
        <v>284</v>
      </c>
      <c r="J61" s="19" t="s">
        <v>126</v>
      </c>
      <c r="K61" s="34" t="s">
        <v>285</v>
      </c>
      <c r="L61" s="34"/>
      <c r="M61" s="34" t="s">
        <v>74</v>
      </c>
      <c r="N61" s="34" t="s">
        <v>286</v>
      </c>
      <c r="O61" s="34" t="s">
        <v>287</v>
      </c>
      <c r="P61" s="34" t="s">
        <v>46</v>
      </c>
      <c r="Q61" s="20" t="s">
        <v>47</v>
      </c>
      <c r="R61" s="20" t="s">
        <v>48</v>
      </c>
      <c r="S61" s="34">
        <v>696</v>
      </c>
      <c r="T61" s="34">
        <v>6372</v>
      </c>
      <c r="U61" s="34"/>
      <c r="V61" s="20" t="s">
        <v>49</v>
      </c>
      <c r="W61" s="34">
        <v>9222</v>
      </c>
      <c r="X61" s="20" t="s">
        <v>288</v>
      </c>
      <c r="Y61" s="34" t="s">
        <v>141</v>
      </c>
      <c r="Z61" s="34" t="s">
        <v>52</v>
      </c>
      <c r="AA61" s="34" t="s">
        <v>289</v>
      </c>
      <c r="AB61" s="20" t="s">
        <v>47</v>
      </c>
      <c r="AC61" s="42">
        <v>45694</v>
      </c>
      <c r="AD61" s="42">
        <v>45902</v>
      </c>
      <c r="AE61" s="42">
        <v>45791</v>
      </c>
      <c r="AF61" s="23">
        <f t="shared" si="0"/>
        <v>208</v>
      </c>
      <c r="AG61" s="24" t="s">
        <v>85</v>
      </c>
      <c r="AH61" s="34">
        <v>0</v>
      </c>
      <c r="AI61" s="34"/>
      <c r="AJ61" s="34"/>
      <c r="AK61" s="34">
        <v>5945</v>
      </c>
      <c r="AL61" s="50">
        <v>1038640.9600000001</v>
      </c>
      <c r="AM61" s="50">
        <v>1044585.9600000001</v>
      </c>
      <c r="AN61" s="25" t="s">
        <v>55</v>
      </c>
    </row>
    <row r="62" spans="1:40" ht="30" customHeight="1">
      <c r="A62" s="16"/>
      <c r="B62" s="17">
        <v>61</v>
      </c>
      <c r="C62" s="16"/>
      <c r="D62" s="56" t="s">
        <v>290</v>
      </c>
      <c r="E62" s="19" t="s">
        <v>291</v>
      </c>
      <c r="F62" s="56" t="s">
        <v>61</v>
      </c>
      <c r="G62" s="16" t="s">
        <v>71</v>
      </c>
      <c r="H62" s="16"/>
      <c r="I62" s="56" t="s">
        <v>292</v>
      </c>
      <c r="J62" s="19" t="s">
        <v>126</v>
      </c>
      <c r="K62" s="34" t="s">
        <v>293</v>
      </c>
      <c r="L62" s="34"/>
      <c r="M62" s="34" t="s">
        <v>74</v>
      </c>
      <c r="N62" s="34" t="s">
        <v>286</v>
      </c>
      <c r="O62" s="58" t="s">
        <v>294</v>
      </c>
      <c r="P62" s="34" t="s">
        <v>46</v>
      </c>
      <c r="Q62" s="20" t="s">
        <v>47</v>
      </c>
      <c r="R62" s="20" t="s">
        <v>48</v>
      </c>
      <c r="S62" s="34">
        <v>696</v>
      </c>
      <c r="T62" s="34">
        <v>8077</v>
      </c>
      <c r="U62" s="34"/>
      <c r="V62" s="20" t="s">
        <v>49</v>
      </c>
      <c r="W62" s="34">
        <v>3511</v>
      </c>
      <c r="X62" s="20" t="s">
        <v>94</v>
      </c>
      <c r="Y62" s="20" t="s">
        <v>51</v>
      </c>
      <c r="Z62" s="34" t="s">
        <v>52</v>
      </c>
      <c r="AA62" s="34" t="s">
        <v>215</v>
      </c>
      <c r="AB62" s="20" t="s">
        <v>47</v>
      </c>
      <c r="AC62" s="42">
        <v>45803</v>
      </c>
      <c r="AD62" s="42">
        <v>45893</v>
      </c>
      <c r="AE62" s="42">
        <v>45870</v>
      </c>
      <c r="AF62" s="23">
        <f t="shared" si="0"/>
        <v>90</v>
      </c>
      <c r="AG62" s="24" t="s">
        <v>101</v>
      </c>
      <c r="AH62" s="20">
        <v>80000</v>
      </c>
      <c r="AI62" s="20"/>
      <c r="AJ62" s="20"/>
      <c r="AK62" s="34">
        <v>8945</v>
      </c>
      <c r="AL62" s="50">
        <v>815</v>
      </c>
      <c r="AM62" s="50">
        <v>89760</v>
      </c>
      <c r="AN62" s="25" t="s">
        <v>55</v>
      </c>
    </row>
    <row r="63" spans="1:40" ht="30" customHeight="1">
      <c r="A63" s="16"/>
      <c r="B63" s="17">
        <v>62</v>
      </c>
      <c r="C63" s="16"/>
      <c r="D63" s="56" t="s">
        <v>295</v>
      </c>
      <c r="E63" s="19" t="s">
        <v>296</v>
      </c>
      <c r="F63" s="19" t="s">
        <v>42</v>
      </c>
      <c r="G63" s="16" t="s">
        <v>71</v>
      </c>
      <c r="H63" s="16"/>
      <c r="I63" s="56" t="s">
        <v>297</v>
      </c>
      <c r="J63" s="19" t="s">
        <v>126</v>
      </c>
      <c r="K63" s="34" t="s">
        <v>298</v>
      </c>
      <c r="L63" s="34"/>
      <c r="M63" s="34" t="s">
        <v>74</v>
      </c>
      <c r="N63" s="34" t="s">
        <v>286</v>
      </c>
      <c r="O63" s="34" t="s">
        <v>299</v>
      </c>
      <c r="P63" s="34" t="s">
        <v>46</v>
      </c>
      <c r="Q63" s="20" t="s">
        <v>47</v>
      </c>
      <c r="R63" s="20" t="s">
        <v>48</v>
      </c>
      <c r="S63" s="25">
        <v>704</v>
      </c>
      <c r="T63" s="25">
        <v>5939</v>
      </c>
      <c r="V63" s="20" t="s">
        <v>49</v>
      </c>
      <c r="W63" s="59">
        <v>12924</v>
      </c>
      <c r="X63" s="20" t="s">
        <v>67</v>
      </c>
      <c r="Y63" s="20" t="s">
        <v>51</v>
      </c>
      <c r="Z63" s="34" t="s">
        <v>52</v>
      </c>
      <c r="AA63" s="34" t="s">
        <v>300</v>
      </c>
      <c r="AB63" s="20" t="s">
        <v>47</v>
      </c>
      <c r="AC63" s="42">
        <v>45729</v>
      </c>
      <c r="AD63" s="42">
        <v>45892</v>
      </c>
      <c r="AE63" s="42">
        <v>45754</v>
      </c>
      <c r="AF63" s="23">
        <f t="shared" si="0"/>
        <v>163</v>
      </c>
      <c r="AG63" s="24" t="s">
        <v>54</v>
      </c>
      <c r="AH63" s="20">
        <v>80000</v>
      </c>
      <c r="AI63" s="20"/>
      <c r="AJ63" s="20"/>
      <c r="AK63" s="34">
        <v>8945</v>
      </c>
      <c r="AL63" s="50">
        <v>815</v>
      </c>
      <c r="AM63" s="50">
        <v>89760</v>
      </c>
      <c r="AN63" s="25" t="s">
        <v>55</v>
      </c>
    </row>
    <row r="64" spans="1:40" ht="30" customHeight="1">
      <c r="A64" s="16"/>
      <c r="B64" s="17">
        <v>63</v>
      </c>
      <c r="C64" s="16"/>
      <c r="D64" s="56" t="s">
        <v>295</v>
      </c>
      <c r="E64" s="19" t="s">
        <v>296</v>
      </c>
      <c r="F64" s="19" t="s">
        <v>42</v>
      </c>
      <c r="G64" s="16" t="s">
        <v>71</v>
      </c>
      <c r="H64" s="16"/>
      <c r="I64" s="56" t="s">
        <v>301</v>
      </c>
      <c r="J64" s="19" t="s">
        <v>126</v>
      </c>
      <c r="K64" s="60" t="s">
        <v>302</v>
      </c>
      <c r="L64" s="34"/>
      <c r="M64" s="34" t="s">
        <v>74</v>
      </c>
      <c r="N64" s="57" t="s">
        <v>303</v>
      </c>
      <c r="O64" s="57" t="s">
        <v>304</v>
      </c>
      <c r="P64" s="34" t="s">
        <v>46</v>
      </c>
      <c r="Q64" s="20" t="s">
        <v>47</v>
      </c>
      <c r="R64" s="20" t="s">
        <v>48</v>
      </c>
      <c r="S64" s="34">
        <v>696</v>
      </c>
      <c r="T64" s="34">
        <v>6374</v>
      </c>
      <c r="U64" s="34"/>
      <c r="V64" s="20" t="s">
        <v>49</v>
      </c>
      <c r="W64" s="34">
        <v>8554</v>
      </c>
      <c r="X64" s="20" t="s">
        <v>50</v>
      </c>
      <c r="Y64" s="20" t="s">
        <v>51</v>
      </c>
      <c r="Z64" s="34" t="s">
        <v>52</v>
      </c>
      <c r="AA64" s="34" t="s">
        <v>305</v>
      </c>
      <c r="AB64" s="20" t="s">
        <v>47</v>
      </c>
      <c r="AC64" s="42">
        <v>45752</v>
      </c>
      <c r="AD64" s="42">
        <v>45902</v>
      </c>
      <c r="AE64" s="42">
        <v>45779</v>
      </c>
      <c r="AF64" s="23">
        <f t="shared" si="0"/>
        <v>150</v>
      </c>
      <c r="AG64" s="24" t="s">
        <v>54</v>
      </c>
      <c r="AH64" s="20">
        <v>80000</v>
      </c>
      <c r="AI64" s="20"/>
      <c r="AJ64" s="20"/>
      <c r="AK64" s="34">
        <v>8945</v>
      </c>
      <c r="AL64" s="50">
        <v>815</v>
      </c>
      <c r="AM64" s="50">
        <v>89760</v>
      </c>
      <c r="AN64" s="25" t="s">
        <v>55</v>
      </c>
    </row>
    <row r="65" spans="1:40" ht="30" customHeight="1">
      <c r="A65" s="16"/>
      <c r="B65" s="17">
        <v>64</v>
      </c>
      <c r="C65" s="16"/>
      <c r="D65" s="56" t="s">
        <v>306</v>
      </c>
      <c r="E65" s="19" t="s">
        <v>307</v>
      </c>
      <c r="F65" s="19" t="s">
        <v>70</v>
      </c>
      <c r="G65" s="16" t="s">
        <v>71</v>
      </c>
      <c r="H65" s="16"/>
      <c r="I65" s="56" t="s">
        <v>308</v>
      </c>
      <c r="J65" s="19" t="s">
        <v>126</v>
      </c>
      <c r="K65" s="57"/>
      <c r="L65" s="34"/>
      <c r="M65" s="34" t="s">
        <v>74</v>
      </c>
      <c r="N65" s="57" t="s">
        <v>309</v>
      </c>
      <c r="O65" s="57" t="s">
        <v>310</v>
      </c>
      <c r="P65" s="34" t="s">
        <v>46</v>
      </c>
      <c r="Q65" s="20" t="s">
        <v>47</v>
      </c>
      <c r="R65" s="20" t="s">
        <v>48</v>
      </c>
      <c r="S65" s="34">
        <v>696</v>
      </c>
      <c r="T65" s="34">
        <v>7148</v>
      </c>
      <c r="U65" s="34"/>
      <c r="V65" s="20" t="s">
        <v>49</v>
      </c>
      <c r="W65" s="34">
        <v>12910</v>
      </c>
      <c r="X65" s="20" t="s">
        <v>67</v>
      </c>
      <c r="Y65" s="20" t="s">
        <v>51</v>
      </c>
      <c r="Z65" s="34" t="s">
        <v>52</v>
      </c>
      <c r="AA65" s="34" t="s">
        <v>305</v>
      </c>
      <c r="AB65" s="20" t="s">
        <v>47</v>
      </c>
      <c r="AC65" s="42">
        <v>45705</v>
      </c>
      <c r="AD65" s="42">
        <v>45903</v>
      </c>
      <c r="AE65" s="42">
        <v>45784</v>
      </c>
      <c r="AF65" s="23">
        <f t="shared" si="0"/>
        <v>198</v>
      </c>
      <c r="AG65" s="24" t="s">
        <v>85</v>
      </c>
      <c r="AH65" s="20">
        <v>80000</v>
      </c>
      <c r="AI65" s="20"/>
      <c r="AJ65" s="20"/>
      <c r="AK65" s="34">
        <v>8945</v>
      </c>
      <c r="AL65" s="50">
        <v>815</v>
      </c>
      <c r="AM65" s="50">
        <v>89760</v>
      </c>
      <c r="AN65" s="25" t="s">
        <v>55</v>
      </c>
    </row>
    <row r="66" spans="1:40" ht="30" customHeight="1">
      <c r="A66" s="16"/>
      <c r="B66" s="17">
        <v>65</v>
      </c>
      <c r="C66" s="16"/>
      <c r="D66" s="16" t="s">
        <v>311</v>
      </c>
      <c r="E66" s="19" t="s">
        <v>312</v>
      </c>
      <c r="F66" s="16" t="s">
        <v>58</v>
      </c>
      <c r="G66" s="16" t="s">
        <v>71</v>
      </c>
      <c r="H66" s="16"/>
      <c r="I66" s="16" t="s">
        <v>313</v>
      </c>
      <c r="J66" s="19" t="s">
        <v>126</v>
      </c>
      <c r="K66" s="34" t="s">
        <v>314</v>
      </c>
      <c r="L66" s="34"/>
      <c r="M66" s="34" t="s">
        <v>74</v>
      </c>
      <c r="N66" s="34" t="s">
        <v>315</v>
      </c>
      <c r="O66" s="34" t="s">
        <v>316</v>
      </c>
      <c r="P66" s="34" t="s">
        <v>46</v>
      </c>
      <c r="Q66" s="20" t="s">
        <v>47</v>
      </c>
      <c r="R66" s="20" t="s">
        <v>48</v>
      </c>
      <c r="S66" s="34">
        <v>696</v>
      </c>
      <c r="T66" s="34">
        <v>7660</v>
      </c>
      <c r="U66" s="34"/>
      <c r="V66" s="20" t="s">
        <v>49</v>
      </c>
      <c r="W66" s="34">
        <v>4303</v>
      </c>
      <c r="X66" s="20" t="s">
        <v>79</v>
      </c>
      <c r="Y66" s="20" t="s">
        <v>51</v>
      </c>
      <c r="Z66" s="34" t="s">
        <v>52</v>
      </c>
      <c r="AA66" s="34" t="s">
        <v>317</v>
      </c>
      <c r="AB66" s="20" t="s">
        <v>47</v>
      </c>
      <c r="AC66" s="42">
        <v>45780</v>
      </c>
      <c r="AD66" s="42">
        <v>45909</v>
      </c>
      <c r="AE66" s="42">
        <v>45817</v>
      </c>
      <c r="AF66" s="23">
        <f t="shared" si="0"/>
        <v>129</v>
      </c>
      <c r="AG66" s="24" t="s">
        <v>54</v>
      </c>
      <c r="AH66" s="20">
        <v>80000</v>
      </c>
      <c r="AI66" s="20"/>
      <c r="AJ66" s="20"/>
      <c r="AK66" s="34">
        <v>8945</v>
      </c>
      <c r="AL66" s="50">
        <v>815</v>
      </c>
      <c r="AM66" s="50">
        <v>89760</v>
      </c>
      <c r="AN66" s="25" t="s">
        <v>55</v>
      </c>
    </row>
    <row r="67" spans="1:40" s="31" customFormat="1" ht="30" customHeight="1">
      <c r="A67" s="16"/>
      <c r="B67" s="17">
        <v>66</v>
      </c>
      <c r="C67" s="16"/>
      <c r="D67" s="56" t="s">
        <v>318</v>
      </c>
      <c r="E67" s="19" t="s">
        <v>253</v>
      </c>
      <c r="F67" s="49" t="s">
        <v>116</v>
      </c>
      <c r="G67" s="19" t="s">
        <v>71</v>
      </c>
      <c r="H67" s="16"/>
      <c r="I67" s="56" t="s">
        <v>319</v>
      </c>
      <c r="J67" s="19" t="s">
        <v>126</v>
      </c>
      <c r="K67" s="57" t="s">
        <v>320</v>
      </c>
      <c r="L67" s="34"/>
      <c r="M67" s="34" t="s">
        <v>74</v>
      </c>
      <c r="N67" s="57" t="s">
        <v>321</v>
      </c>
      <c r="O67" s="57" t="s">
        <v>152</v>
      </c>
      <c r="P67" s="34" t="s">
        <v>46</v>
      </c>
      <c r="Q67" s="34" t="s">
        <v>227</v>
      </c>
      <c r="R67" s="20" t="s">
        <v>48</v>
      </c>
      <c r="S67" s="31">
        <v>104</v>
      </c>
      <c r="T67" s="31">
        <v>5098</v>
      </c>
      <c r="V67" s="20" t="s">
        <v>83</v>
      </c>
      <c r="W67" s="59">
        <v>487</v>
      </c>
      <c r="X67" s="20" t="s">
        <v>90</v>
      </c>
      <c r="Y67" s="20" t="s">
        <v>51</v>
      </c>
      <c r="Z67" s="40" t="s">
        <v>275</v>
      </c>
      <c r="AA67" s="34" t="s">
        <v>130</v>
      </c>
      <c r="AB67" s="20" t="s">
        <v>80</v>
      </c>
      <c r="AC67" s="42">
        <v>45658</v>
      </c>
      <c r="AD67" s="52">
        <v>45883</v>
      </c>
      <c r="AE67" s="42">
        <v>45838</v>
      </c>
      <c r="AF67" s="23">
        <f t="shared" ref="AF67:AF132" si="1">AD67-AC67</f>
        <v>225</v>
      </c>
      <c r="AG67" s="24" t="s">
        <v>85</v>
      </c>
      <c r="AH67" s="20">
        <v>80000</v>
      </c>
      <c r="AI67" s="20"/>
      <c r="AJ67" s="20"/>
      <c r="AK67" s="40">
        <v>8945</v>
      </c>
      <c r="AL67" s="44">
        <v>0</v>
      </c>
      <c r="AM67" s="44">
        <v>88945</v>
      </c>
      <c r="AN67" s="25" t="s">
        <v>55</v>
      </c>
    </row>
    <row r="68" spans="1:40" ht="30" customHeight="1">
      <c r="A68" s="16"/>
      <c r="B68" s="17">
        <v>67</v>
      </c>
      <c r="C68" s="16"/>
      <c r="D68" s="56" t="s">
        <v>322</v>
      </c>
      <c r="E68" s="19" t="s">
        <v>323</v>
      </c>
      <c r="F68" s="19" t="s">
        <v>58</v>
      </c>
      <c r="G68" s="16" t="s">
        <v>71</v>
      </c>
      <c r="H68" s="16"/>
      <c r="I68" s="56" t="s">
        <v>324</v>
      </c>
      <c r="J68" s="41" t="s">
        <v>45</v>
      </c>
      <c r="K68" s="57" t="s">
        <v>325</v>
      </c>
      <c r="L68" s="34"/>
      <c r="M68" s="34" t="s">
        <v>74</v>
      </c>
      <c r="N68" s="57" t="s">
        <v>326</v>
      </c>
      <c r="O68" s="57" t="s">
        <v>327</v>
      </c>
      <c r="P68" s="34" t="s">
        <v>46</v>
      </c>
      <c r="Q68" s="20" t="s">
        <v>47</v>
      </c>
      <c r="R68" s="20" t="s">
        <v>48</v>
      </c>
      <c r="S68" s="34">
        <v>696</v>
      </c>
      <c r="T68" s="34">
        <v>4736</v>
      </c>
      <c r="U68" s="34"/>
      <c r="V68" s="20" t="s">
        <v>49</v>
      </c>
      <c r="W68" s="34">
        <v>468</v>
      </c>
      <c r="X68" s="20" t="s">
        <v>90</v>
      </c>
      <c r="Y68" s="20" t="s">
        <v>51</v>
      </c>
      <c r="Z68" s="34" t="s">
        <v>52</v>
      </c>
      <c r="AA68" s="34">
        <v>0</v>
      </c>
      <c r="AB68" s="20" t="s">
        <v>47</v>
      </c>
      <c r="AC68" s="42">
        <v>45707</v>
      </c>
      <c r="AD68" s="42">
        <v>45861</v>
      </c>
      <c r="AE68" s="42">
        <v>45859</v>
      </c>
      <c r="AF68" s="23">
        <f t="shared" si="1"/>
        <v>154</v>
      </c>
      <c r="AG68" s="24" t="s">
        <v>54</v>
      </c>
      <c r="AH68" s="20">
        <v>80000</v>
      </c>
      <c r="AI68" s="20"/>
      <c r="AJ68" s="20"/>
      <c r="AK68" s="34">
        <v>8945</v>
      </c>
      <c r="AL68" s="50">
        <v>815</v>
      </c>
      <c r="AM68" s="50">
        <v>89760</v>
      </c>
      <c r="AN68" s="25" t="s">
        <v>55</v>
      </c>
    </row>
    <row r="69" spans="1:40" ht="30" customHeight="1">
      <c r="A69" s="16"/>
      <c r="B69" s="17">
        <v>68</v>
      </c>
      <c r="C69" s="16"/>
      <c r="D69" s="61" t="s">
        <v>328</v>
      </c>
      <c r="E69" s="19" t="s">
        <v>323</v>
      </c>
      <c r="F69" s="19" t="s">
        <v>58</v>
      </c>
      <c r="G69" s="16" t="s">
        <v>71</v>
      </c>
      <c r="H69" s="16"/>
      <c r="I69" s="16" t="s">
        <v>329</v>
      </c>
      <c r="J69" s="19" t="s">
        <v>126</v>
      </c>
      <c r="K69" s="34" t="s">
        <v>330</v>
      </c>
      <c r="L69" s="34"/>
      <c r="M69" s="34" t="s">
        <v>74</v>
      </c>
      <c r="N69" s="34" t="s">
        <v>331</v>
      </c>
      <c r="O69" s="34" t="s">
        <v>332</v>
      </c>
      <c r="P69" s="34" t="s">
        <v>46</v>
      </c>
      <c r="Q69" s="20" t="s">
        <v>47</v>
      </c>
      <c r="R69" s="20" t="s">
        <v>48</v>
      </c>
      <c r="S69" s="34">
        <v>696</v>
      </c>
      <c r="T69" s="34">
        <v>8078</v>
      </c>
      <c r="U69" s="34"/>
      <c r="V69" s="20" t="s">
        <v>49</v>
      </c>
      <c r="W69" s="34">
        <v>4556</v>
      </c>
      <c r="X69" s="20" t="s">
        <v>79</v>
      </c>
      <c r="Y69" s="20" t="s">
        <v>51</v>
      </c>
      <c r="Z69" s="34" t="s">
        <v>52</v>
      </c>
      <c r="AA69" s="34" t="s">
        <v>305</v>
      </c>
      <c r="AB69" s="20" t="s">
        <v>47</v>
      </c>
      <c r="AC69" s="42">
        <v>45756</v>
      </c>
      <c r="AD69" s="42">
        <v>45918</v>
      </c>
      <c r="AE69" s="42">
        <v>45776</v>
      </c>
      <c r="AF69" s="23">
        <f t="shared" si="1"/>
        <v>162</v>
      </c>
      <c r="AG69" s="24" t="s">
        <v>54</v>
      </c>
      <c r="AH69" s="20">
        <v>80000</v>
      </c>
      <c r="AI69" s="20"/>
      <c r="AJ69" s="20"/>
      <c r="AK69" s="34">
        <v>8945</v>
      </c>
      <c r="AL69" s="50">
        <v>815</v>
      </c>
      <c r="AM69" s="50">
        <v>89760</v>
      </c>
      <c r="AN69" s="25" t="s">
        <v>55</v>
      </c>
    </row>
    <row r="70" spans="1:40" ht="30" customHeight="1">
      <c r="A70" s="16"/>
      <c r="B70" s="17">
        <v>69</v>
      </c>
      <c r="C70" s="16"/>
      <c r="D70" s="62" t="s">
        <v>333</v>
      </c>
      <c r="E70" s="19" t="s">
        <v>334</v>
      </c>
      <c r="F70" s="19" t="s">
        <v>70</v>
      </c>
      <c r="G70" s="16" t="s">
        <v>71</v>
      </c>
      <c r="H70" s="16"/>
      <c r="I70" s="62" t="s">
        <v>335</v>
      </c>
      <c r="J70" s="19" t="s">
        <v>126</v>
      </c>
      <c r="K70" s="63" t="s">
        <v>336</v>
      </c>
      <c r="L70" s="34"/>
      <c r="M70" s="34" t="s">
        <v>74</v>
      </c>
      <c r="N70" s="34" t="s">
        <v>337</v>
      </c>
      <c r="O70" s="34" t="s">
        <v>338</v>
      </c>
      <c r="P70" s="34" t="s">
        <v>46</v>
      </c>
      <c r="Q70" s="20" t="s">
        <v>47</v>
      </c>
      <c r="R70" s="20" t="s">
        <v>48</v>
      </c>
      <c r="S70" s="34">
        <v>696</v>
      </c>
      <c r="T70" s="34">
        <v>8079</v>
      </c>
      <c r="U70" s="34"/>
      <c r="V70" s="20" t="s">
        <v>49</v>
      </c>
      <c r="W70" s="34">
        <v>8228</v>
      </c>
      <c r="X70" s="20" t="s">
        <v>50</v>
      </c>
      <c r="Y70" s="20" t="s">
        <v>51</v>
      </c>
      <c r="Z70" s="34" t="s">
        <v>52</v>
      </c>
      <c r="AA70" s="34" t="s">
        <v>305</v>
      </c>
      <c r="AB70" s="20" t="s">
        <v>47</v>
      </c>
      <c r="AC70" s="42">
        <v>45728</v>
      </c>
      <c r="AD70" s="42">
        <v>45921</v>
      </c>
      <c r="AE70" s="42">
        <v>45755</v>
      </c>
      <c r="AF70" s="23">
        <f t="shared" si="1"/>
        <v>193</v>
      </c>
      <c r="AG70" s="24" t="s">
        <v>85</v>
      </c>
      <c r="AH70" s="20">
        <v>80000</v>
      </c>
      <c r="AI70" s="20"/>
      <c r="AJ70" s="20"/>
      <c r="AK70" s="34">
        <v>8945</v>
      </c>
      <c r="AL70" s="50">
        <v>815</v>
      </c>
      <c r="AM70" s="50">
        <v>89760</v>
      </c>
      <c r="AN70" s="25" t="s">
        <v>55</v>
      </c>
    </row>
    <row r="71" spans="1:40" s="31" customFormat="1" ht="30" customHeight="1">
      <c r="A71" s="16"/>
      <c r="B71" s="17">
        <v>70</v>
      </c>
      <c r="C71" s="16"/>
      <c r="D71" s="56" t="s">
        <v>339</v>
      </c>
      <c r="E71" s="19" t="s">
        <v>340</v>
      </c>
      <c r="F71" s="19" t="s">
        <v>92</v>
      </c>
      <c r="G71" s="19" t="s">
        <v>71</v>
      </c>
      <c r="H71" s="16"/>
      <c r="I71" s="64" t="s">
        <v>341</v>
      </c>
      <c r="J71" s="41" t="s">
        <v>45</v>
      </c>
      <c r="K71" s="34" t="s">
        <v>342</v>
      </c>
      <c r="L71" s="34"/>
      <c r="M71" s="34" t="s">
        <v>74</v>
      </c>
      <c r="N71" s="65" t="s">
        <v>343</v>
      </c>
      <c r="O71" s="34" t="s">
        <v>344</v>
      </c>
      <c r="P71" s="34" t="s">
        <v>46</v>
      </c>
      <c r="Q71" s="34" t="s">
        <v>78</v>
      </c>
      <c r="R71" s="20" t="s">
        <v>48</v>
      </c>
      <c r="S71" s="40">
        <v>471</v>
      </c>
      <c r="T71" s="40">
        <v>8525</v>
      </c>
      <c r="U71" s="40"/>
      <c r="V71" s="20" t="s">
        <v>83</v>
      </c>
      <c r="W71" s="40">
        <v>1666</v>
      </c>
      <c r="X71" s="20" t="s">
        <v>123</v>
      </c>
      <c r="Y71" s="20" t="s">
        <v>51</v>
      </c>
      <c r="Z71" s="40" t="s">
        <v>275</v>
      </c>
      <c r="AA71" s="34" t="s">
        <v>345</v>
      </c>
      <c r="AB71" s="20" t="s">
        <v>80</v>
      </c>
      <c r="AC71" s="42">
        <v>45736</v>
      </c>
      <c r="AD71" s="42">
        <v>45926</v>
      </c>
      <c r="AE71" s="42">
        <v>45832</v>
      </c>
      <c r="AF71" s="23">
        <f t="shared" si="1"/>
        <v>190</v>
      </c>
      <c r="AG71" s="24" t="s">
        <v>85</v>
      </c>
      <c r="AH71" s="20">
        <v>80000</v>
      </c>
      <c r="AI71" s="20"/>
      <c r="AJ71" s="20"/>
      <c r="AK71" s="40">
        <v>8945</v>
      </c>
      <c r="AL71" s="44">
        <v>0</v>
      </c>
      <c r="AM71" s="44">
        <v>88945</v>
      </c>
      <c r="AN71" s="25" t="s">
        <v>55</v>
      </c>
    </row>
    <row r="72" spans="1:40" s="31" customFormat="1" ht="30" customHeight="1">
      <c r="A72" s="16"/>
      <c r="B72" s="17">
        <v>71</v>
      </c>
      <c r="C72" s="16"/>
      <c r="D72" s="16" t="s">
        <v>346</v>
      </c>
      <c r="E72" s="19" t="s">
        <v>179</v>
      </c>
      <c r="F72" s="19" t="s">
        <v>70</v>
      </c>
      <c r="G72" s="19" t="s">
        <v>71</v>
      </c>
      <c r="H72" s="16"/>
      <c r="I72" s="16" t="s">
        <v>347</v>
      </c>
      <c r="J72" s="41" t="s">
        <v>45</v>
      </c>
      <c r="K72" s="34" t="s">
        <v>348</v>
      </c>
      <c r="L72" s="34"/>
      <c r="M72" s="34" t="s">
        <v>74</v>
      </c>
      <c r="N72" s="34" t="s">
        <v>349</v>
      </c>
      <c r="O72" s="34" t="s">
        <v>350</v>
      </c>
      <c r="P72" s="34" t="s">
        <v>46</v>
      </c>
      <c r="Q72" s="34" t="s">
        <v>78</v>
      </c>
      <c r="R72" s="20" t="s">
        <v>48</v>
      </c>
      <c r="S72" s="40">
        <v>575</v>
      </c>
      <c r="T72" s="40">
        <v>8526</v>
      </c>
      <c r="U72" s="40"/>
      <c r="V72" s="20" t="s">
        <v>83</v>
      </c>
      <c r="W72" s="40">
        <v>685</v>
      </c>
      <c r="X72" s="20" t="s">
        <v>90</v>
      </c>
      <c r="Y72" s="20" t="s">
        <v>51</v>
      </c>
      <c r="Z72" s="40" t="s">
        <v>275</v>
      </c>
      <c r="AA72" s="34" t="s">
        <v>215</v>
      </c>
      <c r="AB72" s="20" t="s">
        <v>80</v>
      </c>
      <c r="AC72" s="42">
        <v>45778</v>
      </c>
      <c r="AD72" s="42">
        <v>45936</v>
      </c>
      <c r="AE72" s="42">
        <v>45927</v>
      </c>
      <c r="AF72" s="23">
        <f t="shared" si="1"/>
        <v>158</v>
      </c>
      <c r="AG72" s="24" t="s">
        <v>54</v>
      </c>
      <c r="AH72" s="20">
        <v>80000</v>
      </c>
      <c r="AI72" s="20"/>
      <c r="AJ72" s="20"/>
      <c r="AK72" s="40">
        <v>8945</v>
      </c>
      <c r="AL72" s="44">
        <v>0</v>
      </c>
      <c r="AM72" s="44">
        <v>88945</v>
      </c>
      <c r="AN72" s="25" t="s">
        <v>55</v>
      </c>
    </row>
    <row r="73" spans="1:40" s="31" customFormat="1" ht="30" customHeight="1">
      <c r="A73" s="16"/>
      <c r="B73" s="17">
        <v>72</v>
      </c>
      <c r="C73" s="16"/>
      <c r="D73" s="16" t="s">
        <v>351</v>
      </c>
      <c r="E73" s="19" t="s">
        <v>70</v>
      </c>
      <c r="F73" s="19" t="s">
        <v>70</v>
      </c>
      <c r="G73" s="16" t="s">
        <v>202</v>
      </c>
      <c r="H73" s="16"/>
      <c r="I73" s="66" t="s">
        <v>352</v>
      </c>
      <c r="J73" s="19" t="s">
        <v>126</v>
      </c>
      <c r="K73" s="45" t="s">
        <v>353</v>
      </c>
      <c r="L73" s="34"/>
      <c r="M73" s="34" t="s">
        <v>74</v>
      </c>
      <c r="N73" s="34" t="s">
        <v>354</v>
      </c>
      <c r="O73" s="34" t="s">
        <v>355</v>
      </c>
      <c r="P73" s="34" t="s">
        <v>46</v>
      </c>
      <c r="Q73" s="34" t="s">
        <v>248</v>
      </c>
      <c r="R73" s="20" t="s">
        <v>48</v>
      </c>
      <c r="S73" s="40">
        <v>563</v>
      </c>
      <c r="T73" s="40">
        <v>8527</v>
      </c>
      <c r="U73" s="40"/>
      <c r="V73" s="20" t="s">
        <v>249</v>
      </c>
      <c r="W73" s="40">
        <v>620</v>
      </c>
      <c r="X73" s="20" t="s">
        <v>90</v>
      </c>
      <c r="Y73" s="20" t="s">
        <v>51</v>
      </c>
      <c r="Z73" s="40" t="s">
        <v>275</v>
      </c>
      <c r="AA73" s="34" t="s">
        <v>215</v>
      </c>
      <c r="AB73" s="55" t="s">
        <v>251</v>
      </c>
      <c r="AC73" s="42">
        <v>45828</v>
      </c>
      <c r="AD73" s="42">
        <v>45938</v>
      </c>
      <c r="AE73" s="42">
        <v>45930</v>
      </c>
      <c r="AF73" s="23">
        <f t="shared" si="1"/>
        <v>110</v>
      </c>
      <c r="AG73" s="24" t="s">
        <v>54</v>
      </c>
      <c r="AH73" s="20">
        <v>80000</v>
      </c>
      <c r="AI73" s="20"/>
      <c r="AJ73" s="20"/>
      <c r="AK73" s="40">
        <v>9045</v>
      </c>
      <c r="AL73" s="44">
        <v>75140</v>
      </c>
      <c r="AM73" s="44">
        <v>164185</v>
      </c>
      <c r="AN73" s="25" t="s">
        <v>55</v>
      </c>
    </row>
    <row r="74" spans="1:40" ht="34" customHeight="1">
      <c r="A74" s="16"/>
      <c r="B74" s="17">
        <v>73</v>
      </c>
      <c r="C74" s="16"/>
      <c r="D74" s="67" t="s">
        <v>356</v>
      </c>
      <c r="E74" s="19" t="s">
        <v>357</v>
      </c>
      <c r="F74" s="16" t="s">
        <v>148</v>
      </c>
      <c r="G74" s="16" t="s">
        <v>71</v>
      </c>
      <c r="H74" s="16"/>
      <c r="I74" s="16" t="s">
        <v>358</v>
      </c>
      <c r="J74" s="19" t="s">
        <v>126</v>
      </c>
      <c r="K74" s="34" t="s">
        <v>359</v>
      </c>
      <c r="L74" s="34"/>
      <c r="M74" s="34" t="s">
        <v>74</v>
      </c>
      <c r="N74" s="34" t="s">
        <v>359</v>
      </c>
      <c r="O74" s="34" t="s">
        <v>360</v>
      </c>
      <c r="P74" s="34" t="s">
        <v>46</v>
      </c>
      <c r="Q74" s="20" t="s">
        <v>47</v>
      </c>
      <c r="R74" s="20" t="s">
        <v>48</v>
      </c>
      <c r="S74" s="34">
        <v>696</v>
      </c>
      <c r="T74" s="34">
        <v>8080</v>
      </c>
      <c r="U74" s="34"/>
      <c r="V74" s="20" t="s">
        <v>49</v>
      </c>
      <c r="W74" s="34">
        <v>4040</v>
      </c>
      <c r="X74" s="20" t="s">
        <v>79</v>
      </c>
      <c r="Y74" s="34" t="s">
        <v>141</v>
      </c>
      <c r="Z74" s="34" t="s">
        <v>185</v>
      </c>
      <c r="AA74" s="34" t="s">
        <v>289</v>
      </c>
      <c r="AB74" s="20" t="s">
        <v>47</v>
      </c>
      <c r="AC74" s="42">
        <v>45734</v>
      </c>
      <c r="AD74" s="42">
        <v>45936</v>
      </c>
      <c r="AE74" s="42">
        <v>45756</v>
      </c>
      <c r="AF74" s="23">
        <f t="shared" si="1"/>
        <v>202</v>
      </c>
      <c r="AG74" s="24" t="s">
        <v>85</v>
      </c>
      <c r="AH74" s="34">
        <v>0</v>
      </c>
      <c r="AI74" s="34"/>
      <c r="AJ74" s="34"/>
      <c r="AK74" s="34">
        <v>5945</v>
      </c>
      <c r="AL74" s="50">
        <v>1038640.9600000001</v>
      </c>
      <c r="AM74" s="50">
        <v>1044585.9600000001</v>
      </c>
      <c r="AN74" s="25" t="s">
        <v>55</v>
      </c>
    </row>
    <row r="75" spans="1:40" s="31" customFormat="1" ht="30" customHeight="1">
      <c r="A75" s="16"/>
      <c r="B75" s="17">
        <v>74</v>
      </c>
      <c r="C75" s="16"/>
      <c r="D75" s="16" t="s">
        <v>361</v>
      </c>
      <c r="E75" s="19" t="s">
        <v>362</v>
      </c>
      <c r="F75" s="16" t="s">
        <v>244</v>
      </c>
      <c r="G75" s="16"/>
      <c r="H75" s="16"/>
      <c r="I75" s="16" t="s">
        <v>363</v>
      </c>
      <c r="J75" s="19" t="s">
        <v>126</v>
      </c>
      <c r="K75" s="58" t="s">
        <v>364</v>
      </c>
      <c r="L75" s="34"/>
      <c r="M75" s="34" t="s">
        <v>74</v>
      </c>
      <c r="N75" s="57" t="s">
        <v>365</v>
      </c>
      <c r="O75" s="34" t="s">
        <v>366</v>
      </c>
      <c r="P75" s="34" t="s">
        <v>46</v>
      </c>
      <c r="Q75" s="34" t="s">
        <v>153</v>
      </c>
      <c r="R75" s="20" t="s">
        <v>48</v>
      </c>
      <c r="S75" s="31">
        <v>708</v>
      </c>
      <c r="T75" s="31">
        <v>8335</v>
      </c>
      <c r="V75" s="40" t="s">
        <v>140</v>
      </c>
      <c r="W75" s="68">
        <v>12721</v>
      </c>
      <c r="X75" s="20" t="s">
        <v>67</v>
      </c>
      <c r="Y75" s="40" t="s">
        <v>141</v>
      </c>
      <c r="Z75" s="40" t="s">
        <v>52</v>
      </c>
      <c r="AA75" s="34">
        <v>0</v>
      </c>
      <c r="AB75" s="40" t="s">
        <v>139</v>
      </c>
      <c r="AC75" s="42">
        <v>45731</v>
      </c>
      <c r="AD75" s="52">
        <v>45952</v>
      </c>
      <c r="AE75" s="42">
        <v>45819</v>
      </c>
      <c r="AF75" s="23">
        <f t="shared" si="1"/>
        <v>221</v>
      </c>
      <c r="AG75" s="24" t="s">
        <v>85</v>
      </c>
      <c r="AH75" s="40">
        <v>0</v>
      </c>
      <c r="AI75" s="40"/>
      <c r="AJ75" s="40"/>
      <c r="AK75" s="40">
        <v>5945</v>
      </c>
      <c r="AL75" s="44">
        <v>1038640.9600000001</v>
      </c>
      <c r="AM75" s="44">
        <v>1044585.9600000001</v>
      </c>
      <c r="AN75" s="31" t="s">
        <v>132</v>
      </c>
    </row>
    <row r="76" spans="1:40" s="31" customFormat="1" ht="30" customHeight="1">
      <c r="A76" s="16"/>
      <c r="B76" s="17">
        <v>75</v>
      </c>
      <c r="C76" s="16"/>
      <c r="D76" s="61" t="s">
        <v>367</v>
      </c>
      <c r="E76" s="19" t="s">
        <v>170</v>
      </c>
      <c r="F76" s="19" t="s">
        <v>65</v>
      </c>
      <c r="G76" s="16"/>
      <c r="H76" s="16"/>
      <c r="I76" s="19" t="s">
        <v>368</v>
      </c>
      <c r="J76" s="19" t="s">
        <v>126</v>
      </c>
      <c r="K76" s="69" t="s">
        <v>369</v>
      </c>
      <c r="L76" s="34"/>
      <c r="M76" s="34" t="s">
        <v>74</v>
      </c>
      <c r="N76" s="34" t="s">
        <v>370</v>
      </c>
      <c r="O76" s="34" t="s">
        <v>371</v>
      </c>
      <c r="P76" s="34" t="s">
        <v>46</v>
      </c>
      <c r="Q76" s="34" t="s">
        <v>372</v>
      </c>
      <c r="R76" s="20" t="s">
        <v>48</v>
      </c>
      <c r="S76" s="40" t="s">
        <v>275</v>
      </c>
      <c r="T76" s="40"/>
      <c r="U76" s="40"/>
      <c r="V76" s="34" t="s">
        <v>373</v>
      </c>
      <c r="W76" s="40">
        <v>80</v>
      </c>
      <c r="X76" s="20" t="s">
        <v>90</v>
      </c>
      <c r="Y76" s="20" t="s">
        <v>51</v>
      </c>
      <c r="Z76" s="40" t="s">
        <v>52</v>
      </c>
      <c r="AA76" s="40" t="s">
        <v>374</v>
      </c>
      <c r="AB76" s="70" t="s">
        <v>375</v>
      </c>
      <c r="AC76" s="42">
        <v>45924</v>
      </c>
      <c r="AD76" s="42">
        <v>45952</v>
      </c>
      <c r="AE76" s="42">
        <v>45945</v>
      </c>
      <c r="AF76" s="23">
        <f t="shared" si="1"/>
        <v>28</v>
      </c>
      <c r="AG76" s="24" t="s">
        <v>101</v>
      </c>
      <c r="AH76" s="20">
        <v>80000</v>
      </c>
      <c r="AI76" s="20"/>
      <c r="AJ76" s="20"/>
      <c r="AK76" s="40">
        <v>8945</v>
      </c>
      <c r="AL76" s="44">
        <v>815</v>
      </c>
      <c r="AM76" s="44">
        <v>89760</v>
      </c>
      <c r="AN76" s="31" t="s">
        <v>132</v>
      </c>
    </row>
    <row r="77" spans="1:40" s="31" customFormat="1" ht="30" customHeight="1">
      <c r="A77" s="16"/>
      <c r="B77" s="17">
        <v>76</v>
      </c>
      <c r="C77" s="16"/>
      <c r="D77" s="16" t="s">
        <v>233</v>
      </c>
      <c r="E77" s="19" t="s">
        <v>235</v>
      </c>
      <c r="F77" s="16" t="s">
        <v>235</v>
      </c>
      <c r="G77" s="16" t="s">
        <v>71</v>
      </c>
      <c r="H77" s="16"/>
      <c r="I77" s="16" t="s">
        <v>376</v>
      </c>
      <c r="J77" s="19" t="s">
        <v>126</v>
      </c>
      <c r="K77" s="34" t="s">
        <v>377</v>
      </c>
      <c r="L77" s="34"/>
      <c r="M77" s="34" t="s">
        <v>378</v>
      </c>
      <c r="N77" s="34" t="s">
        <v>379</v>
      </c>
      <c r="O77" s="34" t="s">
        <v>380</v>
      </c>
      <c r="P77" s="34" t="s">
        <v>46</v>
      </c>
      <c r="Q77" s="34" t="s">
        <v>248</v>
      </c>
      <c r="R77" s="20" t="s">
        <v>48</v>
      </c>
      <c r="S77" s="40">
        <v>575</v>
      </c>
      <c r="T77" s="71">
        <v>2723</v>
      </c>
      <c r="U77" s="40"/>
      <c r="V77" s="20" t="s">
        <v>249</v>
      </c>
      <c r="W77" s="40">
        <v>808</v>
      </c>
      <c r="X77" s="20" t="s">
        <v>90</v>
      </c>
      <c r="Y77" s="20" t="s">
        <v>51</v>
      </c>
      <c r="Z77" s="34" t="s">
        <v>52</v>
      </c>
      <c r="AA77" s="34"/>
      <c r="AB77" s="55" t="s">
        <v>251</v>
      </c>
      <c r="AC77" s="42">
        <v>45754</v>
      </c>
      <c r="AD77" s="42">
        <v>45776</v>
      </c>
      <c r="AE77" s="42">
        <v>45777</v>
      </c>
      <c r="AF77" s="23">
        <f t="shared" si="1"/>
        <v>22</v>
      </c>
      <c r="AG77" s="24" t="s">
        <v>101</v>
      </c>
      <c r="AH77" s="40">
        <v>35000</v>
      </c>
      <c r="AI77" s="40"/>
      <c r="AJ77" s="40"/>
      <c r="AK77" s="40">
        <v>9045</v>
      </c>
      <c r="AL77" s="44">
        <v>75140</v>
      </c>
      <c r="AM77" s="44">
        <v>119185</v>
      </c>
      <c r="AN77" s="25" t="s">
        <v>55</v>
      </c>
    </row>
    <row r="78" spans="1:40" s="31" customFormat="1" ht="24" customHeight="1">
      <c r="A78" s="16"/>
      <c r="B78" s="17">
        <v>77</v>
      </c>
      <c r="C78" s="16"/>
      <c r="D78" s="16" t="s">
        <v>333</v>
      </c>
      <c r="E78" s="19" t="s">
        <v>334</v>
      </c>
      <c r="F78" s="19" t="s">
        <v>70</v>
      </c>
      <c r="G78" s="19" t="s">
        <v>71</v>
      </c>
      <c r="H78" s="16"/>
      <c r="I78" s="16" t="s">
        <v>381</v>
      </c>
      <c r="J78" s="41" t="s">
        <v>45</v>
      </c>
      <c r="K78" s="34" t="s">
        <v>382</v>
      </c>
      <c r="L78" s="34"/>
      <c r="M78" s="34" t="s">
        <v>378</v>
      </c>
      <c r="N78" s="34" t="s">
        <v>383</v>
      </c>
      <c r="O78" s="34" t="s">
        <v>384</v>
      </c>
      <c r="P78" s="34" t="s">
        <v>46</v>
      </c>
      <c r="Q78" s="34" t="s">
        <v>131</v>
      </c>
      <c r="R78" s="20" t="s">
        <v>48</v>
      </c>
      <c r="S78" s="72">
        <v>471</v>
      </c>
      <c r="T78" s="40">
        <v>3680</v>
      </c>
      <c r="U78" s="73"/>
      <c r="V78" s="34" t="s">
        <v>385</v>
      </c>
      <c r="W78" s="40">
        <v>2238</v>
      </c>
      <c r="X78" s="20" t="s">
        <v>60</v>
      </c>
      <c r="Y78" s="20" t="s">
        <v>51</v>
      </c>
      <c r="Z78" s="34" t="s">
        <v>52</v>
      </c>
      <c r="AA78" s="34"/>
      <c r="AB78" s="20" t="s">
        <v>80</v>
      </c>
      <c r="AC78" s="42">
        <v>45732</v>
      </c>
      <c r="AD78" s="42">
        <v>45846</v>
      </c>
      <c r="AE78" s="42">
        <v>45808</v>
      </c>
      <c r="AF78" s="23">
        <f t="shared" si="1"/>
        <v>114</v>
      </c>
      <c r="AG78" s="24" t="s">
        <v>54</v>
      </c>
      <c r="AH78" s="40">
        <v>12000</v>
      </c>
      <c r="AI78" s="40"/>
      <c r="AJ78" s="40"/>
      <c r="AK78" s="40">
        <v>9045</v>
      </c>
      <c r="AL78" s="44">
        <v>11200</v>
      </c>
      <c r="AM78" s="44">
        <v>32245</v>
      </c>
      <c r="AN78" s="25" t="s">
        <v>55</v>
      </c>
    </row>
    <row r="79" spans="1:40" s="31" customFormat="1" ht="37.5" customHeight="1">
      <c r="A79" s="16"/>
      <c r="B79" s="17">
        <v>78</v>
      </c>
      <c r="C79" s="16"/>
      <c r="D79" s="74" t="s">
        <v>386</v>
      </c>
      <c r="E79" s="19" t="s">
        <v>387</v>
      </c>
      <c r="F79" s="16" t="s">
        <v>388</v>
      </c>
      <c r="G79" s="16"/>
      <c r="H79" s="16"/>
      <c r="I79" s="16" t="s">
        <v>389</v>
      </c>
      <c r="J79" s="41" t="s">
        <v>45</v>
      </c>
      <c r="K79" s="34" t="s">
        <v>390</v>
      </c>
      <c r="L79" s="34"/>
      <c r="M79" s="34" t="s">
        <v>378</v>
      </c>
      <c r="N79" s="34" t="s">
        <v>391</v>
      </c>
      <c r="O79" s="34" t="s">
        <v>392</v>
      </c>
      <c r="P79" s="34" t="s">
        <v>46</v>
      </c>
      <c r="Q79" s="34" t="s">
        <v>131</v>
      </c>
      <c r="R79" s="20" t="s">
        <v>48</v>
      </c>
      <c r="S79" s="72" t="s">
        <v>275</v>
      </c>
      <c r="T79" s="40"/>
      <c r="U79" s="73"/>
      <c r="V79" s="34" t="s">
        <v>393</v>
      </c>
      <c r="W79" s="40">
        <v>19846</v>
      </c>
      <c r="X79" s="20" t="s">
        <v>107</v>
      </c>
      <c r="Y79" s="20" t="s">
        <v>51</v>
      </c>
      <c r="Z79" s="34" t="s">
        <v>52</v>
      </c>
      <c r="AA79" s="34"/>
      <c r="AB79" s="20" t="s">
        <v>80</v>
      </c>
      <c r="AC79" s="42">
        <v>45658</v>
      </c>
      <c r="AD79" s="42">
        <v>45817</v>
      </c>
      <c r="AE79" s="42">
        <v>45771</v>
      </c>
      <c r="AF79" s="23">
        <f t="shared" si="1"/>
        <v>159</v>
      </c>
      <c r="AG79" s="24" t="s">
        <v>54</v>
      </c>
      <c r="AH79" s="40">
        <v>12000</v>
      </c>
      <c r="AI79" s="40"/>
      <c r="AJ79" s="40"/>
      <c r="AK79" s="40">
        <v>9045</v>
      </c>
      <c r="AL79" s="44">
        <v>11200</v>
      </c>
      <c r="AM79" s="44">
        <v>32245</v>
      </c>
      <c r="AN79" s="25" t="s">
        <v>55</v>
      </c>
    </row>
    <row r="80" spans="1:40" s="31" customFormat="1" ht="30" customHeight="1">
      <c r="A80" s="16"/>
      <c r="B80" s="17">
        <v>79</v>
      </c>
      <c r="C80" s="16"/>
      <c r="D80" s="75" t="s">
        <v>394</v>
      </c>
      <c r="E80" s="19" t="s">
        <v>387</v>
      </c>
      <c r="F80" s="16" t="s">
        <v>388</v>
      </c>
      <c r="G80" s="41" t="s">
        <v>71</v>
      </c>
      <c r="H80" s="16"/>
      <c r="I80" s="16" t="s">
        <v>395</v>
      </c>
      <c r="J80" s="19" t="s">
        <v>126</v>
      </c>
      <c r="K80" s="34" t="s">
        <v>396</v>
      </c>
      <c r="L80" s="34"/>
      <c r="M80" s="34" t="s">
        <v>378</v>
      </c>
      <c r="N80" s="34" t="s">
        <v>397</v>
      </c>
      <c r="O80" s="34" t="s">
        <v>398</v>
      </c>
      <c r="P80" s="34" t="s">
        <v>46</v>
      </c>
      <c r="Q80" s="34" t="s">
        <v>131</v>
      </c>
      <c r="R80" s="20" t="s">
        <v>48</v>
      </c>
      <c r="S80" s="72">
        <v>43</v>
      </c>
      <c r="T80" s="40">
        <v>4615</v>
      </c>
      <c r="U80" s="73"/>
      <c r="V80" s="34" t="s">
        <v>393</v>
      </c>
      <c r="W80" s="40">
        <v>6507</v>
      </c>
      <c r="X80" s="20" t="s">
        <v>97</v>
      </c>
      <c r="Y80" s="20" t="s">
        <v>51</v>
      </c>
      <c r="Z80" s="34" t="s">
        <v>52</v>
      </c>
      <c r="AA80" s="34"/>
      <c r="AB80" s="20" t="s">
        <v>80</v>
      </c>
      <c r="AC80" s="42">
        <v>45713</v>
      </c>
      <c r="AD80" s="42">
        <v>45852</v>
      </c>
      <c r="AE80" s="42">
        <v>45763</v>
      </c>
      <c r="AF80" s="23">
        <f t="shared" si="1"/>
        <v>139</v>
      </c>
      <c r="AG80" s="24" t="s">
        <v>54</v>
      </c>
      <c r="AH80" s="40">
        <v>12000</v>
      </c>
      <c r="AI80" s="40"/>
      <c r="AJ80" s="40"/>
      <c r="AK80" s="40">
        <v>9045</v>
      </c>
      <c r="AL80" s="44">
        <v>11200</v>
      </c>
      <c r="AM80" s="44">
        <v>32245</v>
      </c>
      <c r="AN80" s="25" t="s">
        <v>55</v>
      </c>
    </row>
    <row r="81" spans="1:40" s="31" customFormat="1" ht="30" customHeight="1">
      <c r="A81" s="16"/>
      <c r="B81" s="17">
        <v>80</v>
      </c>
      <c r="C81" s="16"/>
      <c r="D81" s="49" t="s">
        <v>399</v>
      </c>
      <c r="E81" s="19" t="s">
        <v>234</v>
      </c>
      <c r="F81" s="49" t="s">
        <v>235</v>
      </c>
      <c r="G81" s="16" t="s">
        <v>71</v>
      </c>
      <c r="H81" s="16"/>
      <c r="I81" s="49" t="s">
        <v>400</v>
      </c>
      <c r="J81" s="19" t="s">
        <v>126</v>
      </c>
      <c r="K81" s="51" t="s">
        <v>401</v>
      </c>
      <c r="L81" s="34"/>
      <c r="M81" s="34" t="s">
        <v>378</v>
      </c>
      <c r="N81" s="51" t="s">
        <v>402</v>
      </c>
      <c r="O81" s="51" t="s">
        <v>403</v>
      </c>
      <c r="P81" s="34" t="s">
        <v>46</v>
      </c>
      <c r="Q81" s="34" t="s">
        <v>207</v>
      </c>
      <c r="R81" s="20" t="s">
        <v>48</v>
      </c>
      <c r="S81" s="40" t="s">
        <v>404</v>
      </c>
      <c r="T81" s="40" t="s">
        <v>405</v>
      </c>
      <c r="U81" s="40"/>
      <c r="V81" s="34" t="s">
        <v>208</v>
      </c>
      <c r="W81" s="40">
        <v>8117</v>
      </c>
      <c r="X81" s="20" t="s">
        <v>50</v>
      </c>
      <c r="Y81" s="20" t="s">
        <v>51</v>
      </c>
      <c r="Z81" s="34" t="s">
        <v>52</v>
      </c>
      <c r="AA81" s="34"/>
      <c r="AB81" s="20" t="s">
        <v>210</v>
      </c>
      <c r="AC81" s="42">
        <v>45752</v>
      </c>
      <c r="AD81" s="42">
        <v>45839</v>
      </c>
      <c r="AE81" s="42">
        <v>45784</v>
      </c>
      <c r="AF81" s="23">
        <f t="shared" si="1"/>
        <v>87</v>
      </c>
      <c r="AG81" s="24" t="s">
        <v>101</v>
      </c>
      <c r="AH81" s="40">
        <v>10000</v>
      </c>
      <c r="AI81" s="40"/>
      <c r="AJ81" s="40"/>
      <c r="AK81" s="40">
        <v>9045</v>
      </c>
      <c r="AL81" s="44">
        <v>108782</v>
      </c>
      <c r="AM81" s="44">
        <v>127827</v>
      </c>
      <c r="AN81" s="31" t="s">
        <v>132</v>
      </c>
    </row>
    <row r="82" spans="1:40" ht="30" customHeight="1">
      <c r="A82" s="16"/>
      <c r="B82" s="17">
        <v>81</v>
      </c>
      <c r="C82" s="16"/>
      <c r="D82" s="49" t="s">
        <v>406</v>
      </c>
      <c r="E82" s="19" t="s">
        <v>407</v>
      </c>
      <c r="F82" s="19" t="s">
        <v>70</v>
      </c>
      <c r="G82" s="16" t="s">
        <v>202</v>
      </c>
      <c r="H82" s="16"/>
      <c r="I82" s="49" t="s">
        <v>408</v>
      </c>
      <c r="J82" s="19" t="s">
        <v>126</v>
      </c>
      <c r="K82" s="51" t="s">
        <v>409</v>
      </c>
      <c r="L82" s="34"/>
      <c r="M82" s="34" t="s">
        <v>378</v>
      </c>
      <c r="N82" s="51" t="s">
        <v>410</v>
      </c>
      <c r="O82" s="51" t="s">
        <v>411</v>
      </c>
      <c r="P82" s="34" t="s">
        <v>46</v>
      </c>
      <c r="Q82" s="20" t="s">
        <v>47</v>
      </c>
      <c r="R82" s="20" t="s">
        <v>48</v>
      </c>
      <c r="S82" s="34">
        <v>416</v>
      </c>
      <c r="T82" s="34">
        <v>3981</v>
      </c>
      <c r="U82" s="34"/>
      <c r="V82" s="20" t="s">
        <v>49</v>
      </c>
      <c r="W82" s="76">
        <v>6098</v>
      </c>
      <c r="X82" s="20" t="s">
        <v>97</v>
      </c>
      <c r="Y82" s="20" t="s">
        <v>51</v>
      </c>
      <c r="Z82" s="34" t="s">
        <v>52</v>
      </c>
      <c r="AA82" s="34"/>
      <c r="AB82" s="20" t="s">
        <v>47</v>
      </c>
      <c r="AC82" s="42">
        <v>45689</v>
      </c>
      <c r="AD82" s="42">
        <v>45828</v>
      </c>
      <c r="AE82" s="42">
        <v>45749</v>
      </c>
      <c r="AF82" s="23">
        <f t="shared" si="1"/>
        <v>139</v>
      </c>
      <c r="AG82" s="24" t="s">
        <v>54</v>
      </c>
      <c r="AH82" s="34">
        <v>12000</v>
      </c>
      <c r="AI82" s="34"/>
      <c r="AJ82" s="34"/>
      <c r="AK82" s="34">
        <v>8945</v>
      </c>
      <c r="AL82" s="50">
        <v>815</v>
      </c>
      <c r="AM82" s="50">
        <v>21760</v>
      </c>
      <c r="AN82" s="25" t="s">
        <v>55</v>
      </c>
    </row>
    <row r="83" spans="1:40" ht="30" customHeight="1">
      <c r="A83" s="16"/>
      <c r="B83" s="17">
        <v>82</v>
      </c>
      <c r="C83" s="16"/>
      <c r="D83" s="49" t="s">
        <v>406</v>
      </c>
      <c r="E83" s="19" t="s">
        <v>407</v>
      </c>
      <c r="F83" s="19" t="s">
        <v>70</v>
      </c>
      <c r="G83" s="16" t="s">
        <v>43</v>
      </c>
      <c r="H83" s="16"/>
      <c r="I83" s="16" t="s">
        <v>412</v>
      </c>
      <c r="J83" s="19" t="s">
        <v>126</v>
      </c>
      <c r="K83" s="51" t="s">
        <v>413</v>
      </c>
      <c r="L83" s="34"/>
      <c r="M83" s="34" t="s">
        <v>378</v>
      </c>
      <c r="N83" s="51" t="s">
        <v>414</v>
      </c>
      <c r="O83" s="51" t="s">
        <v>415</v>
      </c>
      <c r="P83" s="34" t="s">
        <v>46</v>
      </c>
      <c r="Q83" s="20" t="s">
        <v>47</v>
      </c>
      <c r="R83" s="20" t="s">
        <v>48</v>
      </c>
      <c r="S83" s="34">
        <v>696</v>
      </c>
      <c r="T83" s="34">
        <v>4624</v>
      </c>
      <c r="U83" s="34"/>
      <c r="V83" s="20" t="s">
        <v>49</v>
      </c>
      <c r="W83" s="77">
        <v>233</v>
      </c>
      <c r="X83" s="20" t="s">
        <v>90</v>
      </c>
      <c r="Y83" s="20" t="s">
        <v>51</v>
      </c>
      <c r="Z83" s="34" t="s">
        <v>52</v>
      </c>
      <c r="AA83" s="34"/>
      <c r="AB83" s="20" t="s">
        <v>47</v>
      </c>
      <c r="AC83" s="42">
        <v>45645</v>
      </c>
      <c r="AD83" s="42">
        <v>45832</v>
      </c>
      <c r="AE83" s="42">
        <v>45839</v>
      </c>
      <c r="AF83" s="23">
        <f t="shared" si="1"/>
        <v>187</v>
      </c>
      <c r="AG83" s="24" t="s">
        <v>85</v>
      </c>
      <c r="AH83" s="34">
        <v>12000</v>
      </c>
      <c r="AI83" s="34"/>
      <c r="AJ83" s="34"/>
      <c r="AK83" s="34">
        <v>8945</v>
      </c>
      <c r="AL83" s="50">
        <v>815</v>
      </c>
      <c r="AM83" s="50">
        <v>21760</v>
      </c>
      <c r="AN83" s="25" t="s">
        <v>55</v>
      </c>
    </row>
    <row r="84" spans="1:40" s="31" customFormat="1" ht="30" customHeight="1">
      <c r="A84" s="16"/>
      <c r="B84" s="17">
        <v>83</v>
      </c>
      <c r="C84" s="16"/>
      <c r="D84" s="16" t="s">
        <v>416</v>
      </c>
      <c r="E84" s="19" t="s">
        <v>417</v>
      </c>
      <c r="F84" s="19" t="s">
        <v>98</v>
      </c>
      <c r="G84" s="16" t="s">
        <v>202</v>
      </c>
      <c r="H84" s="16"/>
      <c r="I84" s="16" t="s">
        <v>418</v>
      </c>
      <c r="J84" s="19" t="s">
        <v>126</v>
      </c>
      <c r="K84" s="34" t="s">
        <v>325</v>
      </c>
      <c r="L84" s="34"/>
      <c r="M84" s="34" t="s">
        <v>378</v>
      </c>
      <c r="N84" s="34" t="s">
        <v>419</v>
      </c>
      <c r="O84" s="34" t="s">
        <v>420</v>
      </c>
      <c r="P84" s="34" t="s">
        <v>46</v>
      </c>
      <c r="Q84" s="34" t="s">
        <v>421</v>
      </c>
      <c r="R84" s="20" t="s">
        <v>48</v>
      </c>
      <c r="S84" s="40" t="s">
        <v>275</v>
      </c>
      <c r="T84" s="40"/>
      <c r="U84" s="40"/>
      <c r="V84" s="34" t="s">
        <v>208</v>
      </c>
      <c r="W84" s="40">
        <v>710</v>
      </c>
      <c r="X84" s="20" t="s">
        <v>90</v>
      </c>
      <c r="Y84" s="20" t="s">
        <v>51</v>
      </c>
      <c r="Z84" s="40" t="s">
        <v>52</v>
      </c>
      <c r="AA84" s="34"/>
      <c r="AB84" s="20" t="s">
        <v>210</v>
      </c>
      <c r="AC84" s="42">
        <v>45787</v>
      </c>
      <c r="AD84" s="42">
        <v>45843</v>
      </c>
      <c r="AE84" s="42">
        <v>45833</v>
      </c>
      <c r="AF84" s="23">
        <f t="shared" si="1"/>
        <v>56</v>
      </c>
      <c r="AG84" s="24" t="s">
        <v>101</v>
      </c>
      <c r="AH84" s="40">
        <v>10000</v>
      </c>
      <c r="AI84" s="40"/>
      <c r="AJ84" s="40"/>
      <c r="AK84" s="40">
        <v>9045</v>
      </c>
      <c r="AL84" s="44">
        <v>108782</v>
      </c>
      <c r="AM84" s="44">
        <v>127827</v>
      </c>
      <c r="AN84" s="31" t="s">
        <v>132</v>
      </c>
    </row>
    <row r="85" spans="1:40" s="31" customFormat="1" ht="22" customHeight="1">
      <c r="A85" s="16"/>
      <c r="B85" s="17">
        <v>84</v>
      </c>
      <c r="C85" s="16"/>
      <c r="D85" s="49" t="s">
        <v>422</v>
      </c>
      <c r="E85" s="19" t="s">
        <v>388</v>
      </c>
      <c r="F85" s="16" t="s">
        <v>388</v>
      </c>
      <c r="G85" s="16" t="s">
        <v>71</v>
      </c>
      <c r="H85" s="16"/>
      <c r="I85" s="49" t="s">
        <v>423</v>
      </c>
      <c r="J85" s="19" t="s">
        <v>126</v>
      </c>
      <c r="K85" s="34" t="s">
        <v>424</v>
      </c>
      <c r="L85" s="34"/>
      <c r="M85" s="34" t="s">
        <v>378</v>
      </c>
      <c r="N85" s="34" t="s">
        <v>425</v>
      </c>
      <c r="O85" s="34" t="s">
        <v>426</v>
      </c>
      <c r="P85" s="34" t="s">
        <v>46</v>
      </c>
      <c r="Q85" s="34" t="s">
        <v>248</v>
      </c>
      <c r="R85" s="20" t="s">
        <v>48</v>
      </c>
      <c r="S85" s="40" t="s">
        <v>275</v>
      </c>
      <c r="T85" s="40"/>
      <c r="U85" s="40"/>
      <c r="V85" s="20" t="s">
        <v>249</v>
      </c>
      <c r="W85" s="40">
        <v>744</v>
      </c>
      <c r="X85" s="20" t="s">
        <v>90</v>
      </c>
      <c r="Y85" s="20" t="s">
        <v>51</v>
      </c>
      <c r="Z85" s="40" t="s">
        <v>275</v>
      </c>
      <c r="AA85" s="34"/>
      <c r="AB85" s="55" t="s">
        <v>251</v>
      </c>
      <c r="AC85" s="42">
        <v>45808</v>
      </c>
      <c r="AD85" s="42">
        <v>45874</v>
      </c>
      <c r="AE85" s="42">
        <v>45840</v>
      </c>
      <c r="AF85" s="23">
        <f t="shared" si="1"/>
        <v>66</v>
      </c>
      <c r="AG85" s="24" t="s">
        <v>101</v>
      </c>
      <c r="AH85" s="20">
        <v>80000</v>
      </c>
      <c r="AI85" s="20"/>
      <c r="AJ85" s="20"/>
      <c r="AK85" s="40">
        <v>9045</v>
      </c>
      <c r="AL85" s="44">
        <v>75140</v>
      </c>
      <c r="AM85" s="44">
        <v>164185</v>
      </c>
      <c r="AN85" s="25" t="s">
        <v>55</v>
      </c>
    </row>
    <row r="86" spans="1:40" s="31" customFormat="1" ht="30" customHeight="1">
      <c r="A86" s="16"/>
      <c r="B86" s="17">
        <v>85</v>
      </c>
      <c r="C86" s="16"/>
      <c r="D86" s="49" t="s">
        <v>427</v>
      </c>
      <c r="E86" s="19" t="s">
        <v>340</v>
      </c>
      <c r="F86" s="19" t="s">
        <v>92</v>
      </c>
      <c r="G86" s="16"/>
      <c r="H86" s="16"/>
      <c r="I86" s="16" t="s">
        <v>428</v>
      </c>
      <c r="J86" s="19" t="s">
        <v>126</v>
      </c>
      <c r="K86" s="34" t="s">
        <v>429</v>
      </c>
      <c r="L86" s="34"/>
      <c r="M86" s="34" t="s">
        <v>378</v>
      </c>
      <c r="N86" s="51" t="s">
        <v>430</v>
      </c>
      <c r="O86" s="51" t="s">
        <v>431</v>
      </c>
      <c r="P86" s="34" t="s">
        <v>46</v>
      </c>
      <c r="Q86" s="34" t="s">
        <v>131</v>
      </c>
      <c r="R86" s="20" t="s">
        <v>48</v>
      </c>
      <c r="S86" s="40">
        <v>704</v>
      </c>
      <c r="T86" s="40">
        <v>4918</v>
      </c>
      <c r="U86" s="40"/>
      <c r="V86" s="34" t="s">
        <v>432</v>
      </c>
      <c r="W86" s="78">
        <v>7415</v>
      </c>
      <c r="X86" s="20" t="s">
        <v>87</v>
      </c>
      <c r="Y86" s="20" t="s">
        <v>51</v>
      </c>
      <c r="Z86" s="40" t="s">
        <v>52</v>
      </c>
      <c r="AA86" s="34"/>
      <c r="AB86" s="40" t="s">
        <v>131</v>
      </c>
      <c r="AC86" s="42">
        <v>45722</v>
      </c>
      <c r="AD86" s="52">
        <v>45860</v>
      </c>
      <c r="AE86" s="42">
        <v>45761</v>
      </c>
      <c r="AF86" s="23">
        <f t="shared" si="1"/>
        <v>138</v>
      </c>
      <c r="AG86" s="24" t="s">
        <v>54</v>
      </c>
      <c r="AH86" s="40">
        <v>12000</v>
      </c>
      <c r="AI86" s="40"/>
      <c r="AJ86" s="40"/>
      <c r="AK86" s="40">
        <v>9045</v>
      </c>
      <c r="AL86" s="44">
        <v>11200</v>
      </c>
      <c r="AM86" s="44">
        <v>32245</v>
      </c>
      <c r="AN86" s="25" t="s">
        <v>55</v>
      </c>
    </row>
    <row r="87" spans="1:40" ht="30" customHeight="1">
      <c r="A87" s="16"/>
      <c r="B87" s="17">
        <v>86</v>
      </c>
      <c r="C87" s="16"/>
      <c r="D87" s="49" t="s">
        <v>322</v>
      </c>
      <c r="E87" s="19" t="s">
        <v>323</v>
      </c>
      <c r="F87" s="19" t="s">
        <v>58</v>
      </c>
      <c r="G87" s="16" t="s">
        <v>202</v>
      </c>
      <c r="H87" s="16"/>
      <c r="I87" s="16" t="s">
        <v>433</v>
      </c>
      <c r="J87" s="19" t="s">
        <v>126</v>
      </c>
      <c r="K87" s="34" t="s">
        <v>325</v>
      </c>
      <c r="L87" s="34"/>
      <c r="M87" s="34" t="s">
        <v>378</v>
      </c>
      <c r="N87" s="34" t="s">
        <v>262</v>
      </c>
      <c r="O87" s="34" t="s">
        <v>263</v>
      </c>
      <c r="P87" s="34" t="s">
        <v>46</v>
      </c>
      <c r="Q87" s="20" t="s">
        <v>47</v>
      </c>
      <c r="R87" s="20" t="s">
        <v>48</v>
      </c>
      <c r="S87" s="34">
        <v>696</v>
      </c>
      <c r="T87" s="34">
        <v>4708</v>
      </c>
      <c r="U87" s="34"/>
      <c r="V87" s="20" t="s">
        <v>49</v>
      </c>
      <c r="W87" s="34">
        <v>1059</v>
      </c>
      <c r="X87" s="20" t="s">
        <v>123</v>
      </c>
      <c r="Y87" s="20" t="s">
        <v>51</v>
      </c>
      <c r="Z87" s="34" t="s">
        <v>52</v>
      </c>
      <c r="AA87" s="34"/>
      <c r="AB87" s="20" t="s">
        <v>47</v>
      </c>
      <c r="AC87" s="42">
        <v>45790</v>
      </c>
      <c r="AD87" s="42">
        <v>45863</v>
      </c>
      <c r="AE87" s="42">
        <v>45854</v>
      </c>
      <c r="AF87" s="23">
        <f t="shared" si="1"/>
        <v>73</v>
      </c>
      <c r="AG87" s="24" t="s">
        <v>101</v>
      </c>
      <c r="AH87" s="34">
        <v>12000</v>
      </c>
      <c r="AI87" s="34"/>
      <c r="AJ87" s="34"/>
      <c r="AK87" s="34">
        <v>8945</v>
      </c>
      <c r="AL87" s="50">
        <v>815</v>
      </c>
      <c r="AM87" s="50">
        <v>21760</v>
      </c>
      <c r="AN87" s="25" t="s">
        <v>55</v>
      </c>
    </row>
    <row r="88" spans="1:40" ht="30" customHeight="1">
      <c r="A88" s="16"/>
      <c r="B88" s="17">
        <v>87</v>
      </c>
      <c r="C88" s="16"/>
      <c r="D88" s="16" t="s">
        <v>178</v>
      </c>
      <c r="E88" s="19" t="s">
        <v>42</v>
      </c>
      <c r="F88" s="19" t="s">
        <v>42</v>
      </c>
      <c r="G88" s="16" t="s">
        <v>43</v>
      </c>
      <c r="H88" s="16"/>
      <c r="I88" s="16" t="s">
        <v>434</v>
      </c>
      <c r="J88" s="19" t="s">
        <v>126</v>
      </c>
      <c r="K88" s="34" t="s">
        <v>435</v>
      </c>
      <c r="L88" s="34"/>
      <c r="M88" s="34" t="s">
        <v>378</v>
      </c>
      <c r="N88" s="34" t="s">
        <v>436</v>
      </c>
      <c r="O88" s="34" t="s">
        <v>437</v>
      </c>
      <c r="P88" s="34" t="s">
        <v>46</v>
      </c>
      <c r="Q88" s="20" t="s">
        <v>47</v>
      </c>
      <c r="R88" s="20" t="s">
        <v>48</v>
      </c>
      <c r="S88" s="34">
        <v>696</v>
      </c>
      <c r="T88" s="34">
        <v>4489</v>
      </c>
      <c r="U88" s="34"/>
      <c r="V88" s="20" t="s">
        <v>49</v>
      </c>
      <c r="W88" s="34">
        <v>3324</v>
      </c>
      <c r="X88" s="20" t="s">
        <v>94</v>
      </c>
      <c r="Y88" s="20" t="s">
        <v>51</v>
      </c>
      <c r="Z88" s="34" t="s">
        <v>52</v>
      </c>
      <c r="AA88" s="34"/>
      <c r="AB88" s="20" t="s">
        <v>47</v>
      </c>
      <c r="AC88" s="42">
        <v>45747</v>
      </c>
      <c r="AD88" s="42">
        <v>45881</v>
      </c>
      <c r="AE88" s="42">
        <v>45798</v>
      </c>
      <c r="AF88" s="23">
        <f t="shared" si="1"/>
        <v>134</v>
      </c>
      <c r="AG88" s="24" t="s">
        <v>54</v>
      </c>
      <c r="AH88" s="34">
        <v>12000</v>
      </c>
      <c r="AI88" s="34"/>
      <c r="AJ88" s="34"/>
      <c r="AK88" s="34">
        <v>8945</v>
      </c>
      <c r="AL88" s="50">
        <v>815</v>
      </c>
      <c r="AM88" s="50">
        <v>21760</v>
      </c>
      <c r="AN88" s="25" t="s">
        <v>55</v>
      </c>
    </row>
    <row r="89" spans="1:40" s="31" customFormat="1" ht="30" customHeight="1">
      <c r="A89" s="16"/>
      <c r="B89" s="17">
        <v>88</v>
      </c>
      <c r="C89" s="16"/>
      <c r="D89" s="56" t="s">
        <v>295</v>
      </c>
      <c r="E89" s="19" t="s">
        <v>296</v>
      </c>
      <c r="F89" s="19" t="s">
        <v>42</v>
      </c>
      <c r="G89" s="16" t="s">
        <v>202</v>
      </c>
      <c r="H89" s="16"/>
      <c r="I89" s="56" t="s">
        <v>438</v>
      </c>
      <c r="J89" s="19" t="s">
        <v>126</v>
      </c>
      <c r="K89" s="57" t="s">
        <v>439</v>
      </c>
      <c r="L89" s="34"/>
      <c r="M89" s="34" t="s">
        <v>378</v>
      </c>
      <c r="N89" s="57" t="s">
        <v>440</v>
      </c>
      <c r="O89" s="57" t="s">
        <v>441</v>
      </c>
      <c r="P89" s="34" t="s">
        <v>46</v>
      </c>
      <c r="Q89" s="34" t="s">
        <v>207</v>
      </c>
      <c r="R89" s="20" t="s">
        <v>48</v>
      </c>
      <c r="S89" s="40">
        <v>602</v>
      </c>
      <c r="T89" s="40">
        <v>6368</v>
      </c>
      <c r="U89" s="40"/>
      <c r="V89" s="34" t="s">
        <v>208</v>
      </c>
      <c r="W89" s="40">
        <v>2542</v>
      </c>
      <c r="X89" s="20" t="s">
        <v>60</v>
      </c>
      <c r="Y89" s="20" t="s">
        <v>51</v>
      </c>
      <c r="Z89" s="40" t="s">
        <v>52</v>
      </c>
      <c r="AA89" s="34"/>
      <c r="AB89" s="20" t="s">
        <v>210</v>
      </c>
      <c r="AC89" s="42">
        <v>45773</v>
      </c>
      <c r="AD89" s="42">
        <v>45902</v>
      </c>
      <c r="AE89" s="42">
        <v>45792</v>
      </c>
      <c r="AF89" s="23">
        <f t="shared" si="1"/>
        <v>129</v>
      </c>
      <c r="AG89" s="24" t="s">
        <v>54</v>
      </c>
      <c r="AH89" s="40">
        <v>10000</v>
      </c>
      <c r="AI89" s="40"/>
      <c r="AJ89" s="40"/>
      <c r="AK89" s="40">
        <v>9045</v>
      </c>
      <c r="AL89" s="44">
        <v>108782</v>
      </c>
      <c r="AM89" s="44">
        <v>127827</v>
      </c>
      <c r="AN89" s="31" t="s">
        <v>132</v>
      </c>
    </row>
    <row r="90" spans="1:40" s="31" customFormat="1" ht="30" customHeight="1">
      <c r="A90" s="16"/>
      <c r="B90" s="17">
        <v>89</v>
      </c>
      <c r="C90" s="16"/>
      <c r="D90" s="56" t="s">
        <v>295</v>
      </c>
      <c r="E90" s="19" t="s">
        <v>296</v>
      </c>
      <c r="F90" s="19" t="s">
        <v>42</v>
      </c>
      <c r="G90" s="16"/>
      <c r="H90" s="16"/>
      <c r="I90" s="56" t="s">
        <v>442</v>
      </c>
      <c r="J90" s="19" t="s">
        <v>126</v>
      </c>
      <c r="K90" s="57" t="s">
        <v>298</v>
      </c>
      <c r="L90" s="34"/>
      <c r="M90" s="34" t="s">
        <v>378</v>
      </c>
      <c r="N90" s="57" t="s">
        <v>443</v>
      </c>
      <c r="O90" s="57" t="s">
        <v>443</v>
      </c>
      <c r="P90" s="34" t="s">
        <v>46</v>
      </c>
      <c r="Q90" s="34" t="s">
        <v>444</v>
      </c>
      <c r="R90" s="20" t="s">
        <v>48</v>
      </c>
      <c r="S90" s="40">
        <v>696</v>
      </c>
      <c r="T90" s="40">
        <v>5808</v>
      </c>
      <c r="U90" s="40"/>
      <c r="V90" s="40" t="s">
        <v>445</v>
      </c>
      <c r="W90" s="40">
        <v>4847</v>
      </c>
      <c r="X90" s="20" t="s">
        <v>79</v>
      </c>
      <c r="Y90" s="20" t="s">
        <v>51</v>
      </c>
      <c r="Z90" s="40" t="s">
        <v>52</v>
      </c>
      <c r="AA90" s="34"/>
      <c r="AB90" s="40" t="s">
        <v>446</v>
      </c>
      <c r="AC90" s="42">
        <v>45741</v>
      </c>
      <c r="AD90" s="42">
        <v>45888</v>
      </c>
      <c r="AE90" s="42">
        <v>45790</v>
      </c>
      <c r="AF90" s="23">
        <f t="shared" si="1"/>
        <v>147</v>
      </c>
      <c r="AG90" s="24" t="s">
        <v>54</v>
      </c>
      <c r="AH90" s="20">
        <v>80000</v>
      </c>
      <c r="AI90" s="20"/>
      <c r="AJ90" s="20"/>
      <c r="AK90" s="40">
        <v>9045</v>
      </c>
      <c r="AL90" s="40">
        <v>1120</v>
      </c>
      <c r="AM90" s="44">
        <v>90165</v>
      </c>
      <c r="AN90" s="31" t="s">
        <v>132</v>
      </c>
    </row>
    <row r="91" spans="1:40" s="31" customFormat="1" ht="30" customHeight="1">
      <c r="A91" s="16"/>
      <c r="B91" s="17">
        <v>90</v>
      </c>
      <c r="C91" s="16"/>
      <c r="D91" s="56" t="s">
        <v>447</v>
      </c>
      <c r="E91" s="19" t="s">
        <v>448</v>
      </c>
      <c r="F91" s="56" t="s">
        <v>42</v>
      </c>
      <c r="G91" s="16" t="s">
        <v>202</v>
      </c>
      <c r="H91" s="16" t="s">
        <v>449</v>
      </c>
      <c r="I91" s="79" t="s">
        <v>450</v>
      </c>
      <c r="J91" s="19" t="s">
        <v>126</v>
      </c>
      <c r="K91" s="45" t="s">
        <v>451</v>
      </c>
      <c r="L91" s="34"/>
      <c r="M91" s="34" t="s">
        <v>378</v>
      </c>
      <c r="N91" s="57" t="s">
        <v>452</v>
      </c>
      <c r="O91" s="57" t="s">
        <v>453</v>
      </c>
      <c r="P91" s="34" t="s">
        <v>46</v>
      </c>
      <c r="Q91" s="34" t="s">
        <v>207</v>
      </c>
      <c r="R91" s="20" t="s">
        <v>48</v>
      </c>
      <c r="S91" s="40">
        <v>563</v>
      </c>
      <c r="T91" s="40">
        <v>7438</v>
      </c>
      <c r="U91" s="40"/>
      <c r="V91" s="20" t="s">
        <v>454</v>
      </c>
      <c r="W91" s="40">
        <v>45</v>
      </c>
      <c r="X91" s="20" t="s">
        <v>90</v>
      </c>
      <c r="Y91" s="20" t="s">
        <v>51</v>
      </c>
      <c r="Z91" s="40" t="s">
        <v>52</v>
      </c>
      <c r="AA91" s="34"/>
      <c r="AB91" s="20" t="s">
        <v>210</v>
      </c>
      <c r="AC91" s="42">
        <v>45880</v>
      </c>
      <c r="AD91" s="42">
        <v>45931</v>
      </c>
      <c r="AE91" s="42">
        <v>45900</v>
      </c>
      <c r="AF91" s="23">
        <f t="shared" si="1"/>
        <v>51</v>
      </c>
      <c r="AG91" s="24" t="s">
        <v>101</v>
      </c>
      <c r="AH91" s="40">
        <v>10000</v>
      </c>
      <c r="AI91" s="20">
        <f>8*725</f>
        <v>5800</v>
      </c>
      <c r="AJ91" s="20">
        <f>4.5*725</f>
        <v>3262.5</v>
      </c>
      <c r="AK91" s="40">
        <v>9062</v>
      </c>
      <c r="AL91" s="44">
        <v>108782</v>
      </c>
      <c r="AM91" s="44">
        <v>127827</v>
      </c>
      <c r="AN91" s="31" t="s">
        <v>132</v>
      </c>
    </row>
    <row r="92" spans="1:40" ht="30" customHeight="1">
      <c r="A92" s="16"/>
      <c r="B92" s="17">
        <v>91</v>
      </c>
      <c r="C92" s="16"/>
      <c r="D92" s="56" t="s">
        <v>178</v>
      </c>
      <c r="E92" s="19" t="s">
        <v>259</v>
      </c>
      <c r="F92" s="19" t="s">
        <v>58</v>
      </c>
      <c r="G92" s="16" t="s">
        <v>202</v>
      </c>
      <c r="H92" s="16"/>
      <c r="I92" s="56" t="s">
        <v>455</v>
      </c>
      <c r="J92" s="19" t="s">
        <v>126</v>
      </c>
      <c r="K92" s="57" t="s">
        <v>261</v>
      </c>
      <c r="L92" s="34"/>
      <c r="M92" s="34" t="s">
        <v>378</v>
      </c>
      <c r="N92" s="57"/>
      <c r="O92" s="57" t="s">
        <v>456</v>
      </c>
      <c r="P92" s="34" t="s">
        <v>46</v>
      </c>
      <c r="Q92" s="20" t="s">
        <v>47</v>
      </c>
      <c r="R92" s="20" t="s">
        <v>48</v>
      </c>
      <c r="S92" s="34" t="s">
        <v>275</v>
      </c>
      <c r="U92" s="34"/>
      <c r="V92" s="20" t="s">
        <v>49</v>
      </c>
      <c r="W92" s="34">
        <v>3841</v>
      </c>
      <c r="X92" s="20" t="s">
        <v>94</v>
      </c>
      <c r="Y92" s="20" t="s">
        <v>51</v>
      </c>
      <c r="Z92" s="34" t="s">
        <v>52</v>
      </c>
      <c r="AA92" s="34"/>
      <c r="AB92" s="20" t="s">
        <v>47</v>
      </c>
      <c r="AC92" s="42">
        <v>45703</v>
      </c>
      <c r="AD92" s="42">
        <v>45850</v>
      </c>
      <c r="AE92" s="42">
        <v>45766</v>
      </c>
      <c r="AF92" s="23">
        <f t="shared" si="1"/>
        <v>147</v>
      </c>
      <c r="AG92" s="24" t="s">
        <v>54</v>
      </c>
      <c r="AH92" s="34">
        <v>12000</v>
      </c>
      <c r="AI92" s="34"/>
      <c r="AJ92" s="34"/>
      <c r="AK92" s="34">
        <v>8945</v>
      </c>
      <c r="AL92" s="50">
        <v>815</v>
      </c>
      <c r="AM92" s="50">
        <v>21760</v>
      </c>
      <c r="AN92" s="25" t="s">
        <v>55</v>
      </c>
    </row>
    <row r="93" spans="1:40" s="31" customFormat="1" ht="30" customHeight="1">
      <c r="A93" s="16"/>
      <c r="B93" s="17">
        <v>92</v>
      </c>
      <c r="C93" s="16"/>
      <c r="D93" s="16" t="s">
        <v>457</v>
      </c>
      <c r="E93" s="19" t="s">
        <v>458</v>
      </c>
      <c r="F93" s="19" t="s">
        <v>65</v>
      </c>
      <c r="G93" s="16" t="s">
        <v>459</v>
      </c>
      <c r="H93" s="16"/>
      <c r="I93" s="80" t="s">
        <v>460</v>
      </c>
      <c r="J93" s="41" t="s">
        <v>45</v>
      </c>
      <c r="K93" s="34" t="s">
        <v>461</v>
      </c>
      <c r="L93" s="34"/>
      <c r="M93" s="34" t="s">
        <v>378</v>
      </c>
      <c r="N93" s="34" t="s">
        <v>462</v>
      </c>
      <c r="O93" s="34" t="s">
        <v>463</v>
      </c>
      <c r="P93" s="34" t="s">
        <v>46</v>
      </c>
      <c r="Q93" s="34" t="s">
        <v>464</v>
      </c>
      <c r="R93" s="20" t="s">
        <v>48</v>
      </c>
      <c r="S93" s="40">
        <v>502</v>
      </c>
      <c r="T93" s="40">
        <v>7505</v>
      </c>
      <c r="U93" s="40"/>
      <c r="V93" s="20" t="s">
        <v>249</v>
      </c>
      <c r="W93" s="40">
        <v>11361</v>
      </c>
      <c r="X93" s="20" t="s">
        <v>67</v>
      </c>
      <c r="Y93" s="20" t="s">
        <v>51</v>
      </c>
      <c r="Z93" s="40" t="s">
        <v>275</v>
      </c>
      <c r="AA93" s="34"/>
      <c r="AB93" s="55" t="s">
        <v>251</v>
      </c>
      <c r="AC93" s="42">
        <v>45801</v>
      </c>
      <c r="AD93" s="42">
        <v>45917</v>
      </c>
      <c r="AE93" s="42">
        <v>45821</v>
      </c>
      <c r="AF93" s="23">
        <f t="shared" si="1"/>
        <v>116</v>
      </c>
      <c r="AG93" s="24" t="s">
        <v>54</v>
      </c>
      <c r="AH93" s="20">
        <v>80000</v>
      </c>
      <c r="AI93" s="20"/>
      <c r="AJ93" s="20"/>
      <c r="AK93" s="40">
        <v>9045</v>
      </c>
      <c r="AL93" s="44">
        <v>75140</v>
      </c>
      <c r="AM93" s="44">
        <v>164185</v>
      </c>
      <c r="AN93" s="25" t="s">
        <v>55</v>
      </c>
    </row>
    <row r="94" spans="1:40" s="31" customFormat="1" ht="30" customHeight="1">
      <c r="A94" s="16"/>
      <c r="B94" s="17">
        <v>93</v>
      </c>
      <c r="C94" s="16"/>
      <c r="D94" s="16" t="s">
        <v>465</v>
      </c>
      <c r="E94" s="19" t="s">
        <v>92</v>
      </c>
      <c r="F94" s="19" t="s">
        <v>92</v>
      </c>
      <c r="G94" s="16" t="s">
        <v>459</v>
      </c>
      <c r="H94" s="16"/>
      <c r="I94" s="80" t="s">
        <v>466</v>
      </c>
      <c r="J94" s="19" t="s">
        <v>126</v>
      </c>
      <c r="K94" s="34" t="s">
        <v>461</v>
      </c>
      <c r="L94" s="34"/>
      <c r="M94" s="34" t="s">
        <v>378</v>
      </c>
      <c r="N94" s="34" t="s">
        <v>462</v>
      </c>
      <c r="O94" s="81" t="s">
        <v>467</v>
      </c>
      <c r="P94" s="34" t="s">
        <v>46</v>
      </c>
      <c r="Q94" s="34" t="s">
        <v>464</v>
      </c>
      <c r="R94" s="20" t="s">
        <v>48</v>
      </c>
      <c r="S94" s="40">
        <v>502</v>
      </c>
      <c r="T94" s="40">
        <v>8027</v>
      </c>
      <c r="U94" s="40"/>
      <c r="V94" s="20" t="s">
        <v>249</v>
      </c>
      <c r="W94" s="40">
        <v>2295</v>
      </c>
      <c r="X94" s="20" t="s">
        <v>60</v>
      </c>
      <c r="Y94" s="20" t="s">
        <v>51</v>
      </c>
      <c r="Z94" s="40" t="s">
        <v>275</v>
      </c>
      <c r="AA94" s="34"/>
      <c r="AB94" s="55" t="s">
        <v>251</v>
      </c>
      <c r="AC94" s="42">
        <v>45787</v>
      </c>
      <c r="AD94" s="42">
        <v>45920</v>
      </c>
      <c r="AE94" s="42">
        <v>45871</v>
      </c>
      <c r="AF94" s="23">
        <f t="shared" si="1"/>
        <v>133</v>
      </c>
      <c r="AG94" s="24" t="s">
        <v>54</v>
      </c>
      <c r="AH94" s="20">
        <v>80000</v>
      </c>
      <c r="AI94" s="20"/>
      <c r="AJ94" s="20"/>
      <c r="AK94" s="40">
        <v>9045</v>
      </c>
      <c r="AL94" s="44">
        <v>75140</v>
      </c>
      <c r="AM94" s="44">
        <v>164185</v>
      </c>
      <c r="AN94" s="25" t="s">
        <v>55</v>
      </c>
    </row>
    <row r="95" spans="1:40" s="31" customFormat="1" ht="30" customHeight="1">
      <c r="A95" s="16"/>
      <c r="B95" s="17">
        <v>94</v>
      </c>
      <c r="C95" s="16"/>
      <c r="D95" s="82" t="s">
        <v>468</v>
      </c>
      <c r="E95" s="19" t="s">
        <v>244</v>
      </c>
      <c r="F95" s="49" t="s">
        <v>244</v>
      </c>
      <c r="G95" s="16" t="s">
        <v>71</v>
      </c>
      <c r="H95" s="16"/>
      <c r="I95" s="16" t="s">
        <v>469</v>
      </c>
      <c r="J95" s="19" t="s">
        <v>126</v>
      </c>
      <c r="K95" s="34" t="s">
        <v>470</v>
      </c>
      <c r="L95" s="34"/>
      <c r="M95" s="34" t="s">
        <v>378</v>
      </c>
      <c r="N95" s="34" t="s">
        <v>471</v>
      </c>
      <c r="O95" s="34" t="s">
        <v>472</v>
      </c>
      <c r="P95" s="34" t="s">
        <v>46</v>
      </c>
      <c r="Q95" s="34" t="s">
        <v>248</v>
      </c>
      <c r="R95" s="20" t="s">
        <v>48</v>
      </c>
      <c r="S95" s="40">
        <v>575</v>
      </c>
      <c r="T95" s="71">
        <v>7658</v>
      </c>
      <c r="U95" s="40"/>
      <c r="V95" s="20" t="s">
        <v>249</v>
      </c>
      <c r="W95" s="40">
        <v>12922</v>
      </c>
      <c r="X95" s="20" t="s">
        <v>67</v>
      </c>
      <c r="Y95" s="20" t="s">
        <v>51</v>
      </c>
      <c r="Z95" s="40" t="s">
        <v>52</v>
      </c>
      <c r="AA95" s="34">
        <v>0</v>
      </c>
      <c r="AB95" s="55" t="s">
        <v>251</v>
      </c>
      <c r="AC95" s="42">
        <v>45744</v>
      </c>
      <c r="AD95" s="42">
        <v>45915</v>
      </c>
      <c r="AE95" s="42">
        <v>45796</v>
      </c>
      <c r="AF95" s="23">
        <f t="shared" si="1"/>
        <v>171</v>
      </c>
      <c r="AG95" s="24" t="s">
        <v>54</v>
      </c>
      <c r="AH95" s="40">
        <v>35000</v>
      </c>
      <c r="AI95" s="40"/>
      <c r="AJ95" s="40"/>
      <c r="AK95" s="40">
        <v>9045</v>
      </c>
      <c r="AL95" s="44">
        <v>75140</v>
      </c>
      <c r="AM95" s="44">
        <v>119185</v>
      </c>
      <c r="AN95" s="25" t="s">
        <v>55</v>
      </c>
    </row>
    <row r="96" spans="1:40" s="31" customFormat="1" ht="30" customHeight="1">
      <c r="A96" s="16"/>
      <c r="B96" s="17">
        <v>95</v>
      </c>
      <c r="C96" s="16"/>
      <c r="D96" s="56" t="s">
        <v>339</v>
      </c>
      <c r="E96" s="19" t="s">
        <v>340</v>
      </c>
      <c r="F96" s="19" t="s">
        <v>92</v>
      </c>
      <c r="G96" s="16"/>
      <c r="H96" s="16"/>
      <c r="I96" s="56" t="s">
        <v>473</v>
      </c>
      <c r="J96" s="19" t="s">
        <v>126</v>
      </c>
      <c r="K96" s="57" t="s">
        <v>474</v>
      </c>
      <c r="L96" s="34"/>
      <c r="M96" s="34" t="s">
        <v>378</v>
      </c>
      <c r="N96" s="57" t="s">
        <v>475</v>
      </c>
      <c r="O96" s="57" t="s">
        <v>476</v>
      </c>
      <c r="P96" s="34" t="s">
        <v>46</v>
      </c>
      <c r="Q96" s="57" t="s">
        <v>131</v>
      </c>
      <c r="R96" s="20" t="s">
        <v>48</v>
      </c>
      <c r="S96" s="31">
        <v>708</v>
      </c>
      <c r="T96" s="40">
        <v>6203</v>
      </c>
      <c r="V96" s="34" t="s">
        <v>432</v>
      </c>
      <c r="W96" s="83">
        <v>7100</v>
      </c>
      <c r="X96" s="20" t="s">
        <v>87</v>
      </c>
      <c r="Y96" s="20" t="s">
        <v>51</v>
      </c>
      <c r="Z96" s="40" t="s">
        <v>52</v>
      </c>
      <c r="AA96" s="34">
        <v>0</v>
      </c>
      <c r="AB96" s="40" t="s">
        <v>131</v>
      </c>
      <c r="AC96" s="42">
        <v>45719</v>
      </c>
      <c r="AD96" s="52">
        <v>45898</v>
      </c>
      <c r="AE96" s="42">
        <v>45751</v>
      </c>
      <c r="AF96" s="23">
        <f t="shared" si="1"/>
        <v>179</v>
      </c>
      <c r="AG96" s="24" t="s">
        <v>54</v>
      </c>
      <c r="AH96" s="40">
        <v>12000</v>
      </c>
      <c r="AI96" s="40"/>
      <c r="AJ96" s="40"/>
      <c r="AK96" s="40">
        <v>9045</v>
      </c>
      <c r="AL96" s="44">
        <v>11200</v>
      </c>
      <c r="AM96" s="44">
        <v>32245</v>
      </c>
      <c r="AN96" s="25" t="s">
        <v>55</v>
      </c>
    </row>
    <row r="97" spans="1:41" s="31" customFormat="1" ht="30" customHeight="1">
      <c r="A97" s="16"/>
      <c r="B97" s="17">
        <v>96</v>
      </c>
      <c r="C97" s="16"/>
      <c r="D97" s="54" t="s">
        <v>468</v>
      </c>
      <c r="E97" s="19" t="s">
        <v>477</v>
      </c>
      <c r="F97" s="16" t="s">
        <v>244</v>
      </c>
      <c r="G97" s="16" t="s">
        <v>71</v>
      </c>
      <c r="H97" s="16"/>
      <c r="I97" s="16" t="s">
        <v>478</v>
      </c>
      <c r="J97" s="19" t="s">
        <v>126</v>
      </c>
      <c r="K97" s="34" t="s">
        <v>479</v>
      </c>
      <c r="L97" s="34"/>
      <c r="M97" s="34" t="s">
        <v>378</v>
      </c>
      <c r="N97" s="65" t="s">
        <v>480</v>
      </c>
      <c r="O97" s="34" t="s">
        <v>481</v>
      </c>
      <c r="P97" s="34" t="s">
        <v>46</v>
      </c>
      <c r="Q97" s="34" t="s">
        <v>207</v>
      </c>
      <c r="R97" s="20" t="s">
        <v>48</v>
      </c>
      <c r="S97" s="40">
        <v>844</v>
      </c>
      <c r="T97" s="84">
        <v>8106</v>
      </c>
      <c r="U97" s="40"/>
      <c r="V97" s="34" t="s">
        <v>208</v>
      </c>
      <c r="W97" s="40">
        <v>19387</v>
      </c>
      <c r="X97" s="20" t="s">
        <v>107</v>
      </c>
      <c r="Y97" s="20" t="s">
        <v>51</v>
      </c>
      <c r="Z97" s="40" t="s">
        <v>275</v>
      </c>
      <c r="AA97" s="34">
        <v>0</v>
      </c>
      <c r="AB97" s="20" t="s">
        <v>210</v>
      </c>
      <c r="AC97" s="42">
        <v>45749</v>
      </c>
      <c r="AD97" s="42">
        <v>45919</v>
      </c>
      <c r="AE97" s="42">
        <v>45791</v>
      </c>
      <c r="AF97" s="23">
        <f t="shared" si="1"/>
        <v>170</v>
      </c>
      <c r="AG97" s="24" t="s">
        <v>54</v>
      </c>
      <c r="AH97" s="40">
        <v>10000</v>
      </c>
      <c r="AI97" s="40"/>
      <c r="AJ97" s="40"/>
      <c r="AK97" s="40">
        <v>9045</v>
      </c>
      <c r="AL97" s="44">
        <v>108782</v>
      </c>
      <c r="AM97" s="44">
        <v>127827</v>
      </c>
      <c r="AN97" s="31" t="s">
        <v>132</v>
      </c>
    </row>
    <row r="98" spans="1:41" s="31" customFormat="1" ht="30" customHeight="1">
      <c r="A98" s="16"/>
      <c r="B98" s="17">
        <v>97</v>
      </c>
      <c r="C98" s="16"/>
      <c r="D98" s="16" t="s">
        <v>482</v>
      </c>
      <c r="E98" s="19" t="s">
        <v>483</v>
      </c>
      <c r="F98" s="16" t="s">
        <v>61</v>
      </c>
      <c r="G98" s="41" t="s">
        <v>71</v>
      </c>
      <c r="H98" s="16"/>
      <c r="I98" s="41" t="s">
        <v>484</v>
      </c>
      <c r="J98" s="41" t="s">
        <v>45</v>
      </c>
      <c r="K98" s="34" t="s">
        <v>485</v>
      </c>
      <c r="L98" s="34"/>
      <c r="M98" s="34" t="s">
        <v>378</v>
      </c>
      <c r="N98" s="34" t="s">
        <v>486</v>
      </c>
      <c r="O98" s="34" t="s">
        <v>487</v>
      </c>
      <c r="P98" s="34" t="s">
        <v>46</v>
      </c>
      <c r="Q98" s="34" t="s">
        <v>131</v>
      </c>
      <c r="R98" s="20" t="s">
        <v>48</v>
      </c>
      <c r="S98" s="72" t="s">
        <v>275</v>
      </c>
      <c r="T98" s="40"/>
      <c r="U98" s="73"/>
      <c r="V98" s="34"/>
      <c r="W98" s="40">
        <v>2780</v>
      </c>
      <c r="X98" s="20" t="s">
        <v>60</v>
      </c>
      <c r="Y98" s="20" t="s">
        <v>51</v>
      </c>
      <c r="Z98" s="40" t="s">
        <v>130</v>
      </c>
      <c r="AA98" s="34">
        <v>0</v>
      </c>
      <c r="AB98" s="20" t="s">
        <v>80</v>
      </c>
      <c r="AC98" s="42">
        <v>45888</v>
      </c>
      <c r="AD98" s="42">
        <v>45932</v>
      </c>
      <c r="AE98" s="42">
        <v>45896</v>
      </c>
      <c r="AF98" s="23">
        <f t="shared" si="1"/>
        <v>44</v>
      </c>
      <c r="AG98" s="24" t="s">
        <v>101</v>
      </c>
      <c r="AH98" s="40">
        <v>12000</v>
      </c>
      <c r="AI98" s="40"/>
      <c r="AJ98" s="40"/>
      <c r="AK98" s="40">
        <v>9045</v>
      </c>
      <c r="AL98" s="44">
        <v>11200</v>
      </c>
      <c r="AM98" s="44">
        <v>32245</v>
      </c>
      <c r="AN98" s="25" t="s">
        <v>55</v>
      </c>
    </row>
    <row r="99" spans="1:41" s="31" customFormat="1" ht="30.65" customHeight="1">
      <c r="A99" s="16"/>
      <c r="B99" s="17">
        <v>98</v>
      </c>
      <c r="C99" s="16"/>
      <c r="D99" s="16" t="s">
        <v>488</v>
      </c>
      <c r="E99" s="19" t="s">
        <v>489</v>
      </c>
      <c r="F99" s="16" t="s">
        <v>388</v>
      </c>
      <c r="G99" s="16" t="s">
        <v>71</v>
      </c>
      <c r="H99" s="16"/>
      <c r="I99" s="85" t="s">
        <v>490</v>
      </c>
      <c r="J99" s="41" t="s">
        <v>45</v>
      </c>
      <c r="K99" s="34" t="s">
        <v>491</v>
      </c>
      <c r="L99" s="34"/>
      <c r="M99" s="34" t="s">
        <v>378</v>
      </c>
      <c r="N99" s="34" t="s">
        <v>492</v>
      </c>
      <c r="O99" s="34" t="s">
        <v>493</v>
      </c>
      <c r="P99" s="34" t="s">
        <v>46</v>
      </c>
      <c r="Q99" s="34" t="s">
        <v>207</v>
      </c>
      <c r="R99" s="20" t="s">
        <v>48</v>
      </c>
      <c r="S99" s="40">
        <v>602</v>
      </c>
      <c r="T99" s="29">
        <v>8124</v>
      </c>
      <c r="U99" s="40"/>
      <c r="V99" s="34" t="s">
        <v>208</v>
      </c>
      <c r="W99" s="40">
        <v>6940</v>
      </c>
      <c r="X99" s="40" t="s">
        <v>97</v>
      </c>
      <c r="Y99" s="20" t="s">
        <v>51</v>
      </c>
      <c r="Z99" s="40" t="s">
        <v>52</v>
      </c>
      <c r="AA99" s="34">
        <v>0</v>
      </c>
      <c r="AB99" s="20" t="s">
        <v>210</v>
      </c>
      <c r="AC99" s="42">
        <v>45791</v>
      </c>
      <c r="AD99" s="42">
        <v>45945</v>
      </c>
      <c r="AE99" s="42">
        <v>45824</v>
      </c>
      <c r="AF99" s="23">
        <f t="shared" si="1"/>
        <v>154</v>
      </c>
      <c r="AG99" s="24" t="s">
        <v>54</v>
      </c>
      <c r="AH99" s="40">
        <v>10000</v>
      </c>
      <c r="AI99" s="40"/>
      <c r="AJ99" s="40"/>
      <c r="AK99" s="40">
        <v>9045</v>
      </c>
      <c r="AL99" s="44">
        <v>108782</v>
      </c>
      <c r="AM99" s="44">
        <v>127827</v>
      </c>
      <c r="AN99" s="31" t="s">
        <v>132</v>
      </c>
    </row>
    <row r="100" spans="1:41" s="31" customFormat="1" ht="30" customHeight="1">
      <c r="A100" s="16"/>
      <c r="B100" s="17">
        <v>99</v>
      </c>
      <c r="C100" s="86">
        <v>45917</v>
      </c>
      <c r="D100" s="16" t="s">
        <v>494</v>
      </c>
      <c r="E100" s="16" t="s">
        <v>417</v>
      </c>
      <c r="F100" s="16" t="s">
        <v>98</v>
      </c>
      <c r="G100" s="41" t="s">
        <v>202</v>
      </c>
      <c r="H100" s="41" t="s">
        <v>495</v>
      </c>
      <c r="I100" s="41" t="s">
        <v>496</v>
      </c>
      <c r="J100" s="19" t="s">
        <v>126</v>
      </c>
      <c r="K100" s="34" t="s">
        <v>497</v>
      </c>
      <c r="L100" s="40" t="s">
        <v>498</v>
      </c>
      <c r="M100" s="34" t="s">
        <v>74</v>
      </c>
      <c r="N100" s="34" t="s">
        <v>499</v>
      </c>
      <c r="O100" s="40" t="s">
        <v>500</v>
      </c>
      <c r="P100" s="40" t="s">
        <v>46</v>
      </c>
      <c r="Q100" s="34" t="s">
        <v>501</v>
      </c>
      <c r="R100" s="20" t="s">
        <v>48</v>
      </c>
      <c r="S100" s="40" t="s">
        <v>275</v>
      </c>
      <c r="T100" s="40"/>
      <c r="U100" s="40"/>
      <c r="V100" s="20" t="s">
        <v>502</v>
      </c>
      <c r="W100" s="40">
        <v>720</v>
      </c>
      <c r="X100" s="20" t="s">
        <v>90</v>
      </c>
      <c r="Y100" s="20" t="s">
        <v>51</v>
      </c>
      <c r="Z100" s="40" t="s">
        <v>275</v>
      </c>
      <c r="AA100" s="34"/>
      <c r="AB100" s="20" t="s">
        <v>210</v>
      </c>
      <c r="AC100" s="42">
        <v>45893</v>
      </c>
      <c r="AD100" s="42">
        <v>45917</v>
      </c>
      <c r="AE100" s="42">
        <v>45903</v>
      </c>
      <c r="AF100" s="23">
        <f t="shared" si="1"/>
        <v>24</v>
      </c>
      <c r="AG100" s="24" t="s">
        <v>101</v>
      </c>
      <c r="AH100" s="20">
        <v>80000</v>
      </c>
      <c r="AI100" s="20"/>
      <c r="AJ100" s="20"/>
      <c r="AK100" s="40">
        <v>9045</v>
      </c>
      <c r="AL100" s="44">
        <v>108782</v>
      </c>
      <c r="AM100" s="44">
        <v>197827</v>
      </c>
      <c r="AN100" s="31" t="s">
        <v>132</v>
      </c>
    </row>
    <row r="101" spans="1:41" s="31" customFormat="1" ht="30" customHeight="1">
      <c r="A101" s="16"/>
      <c r="B101" s="17">
        <v>100</v>
      </c>
      <c r="C101" s="86">
        <v>45957</v>
      </c>
      <c r="D101" s="41" t="s">
        <v>503</v>
      </c>
      <c r="E101" s="16" t="s">
        <v>58</v>
      </c>
      <c r="F101" s="16" t="s">
        <v>58</v>
      </c>
      <c r="G101" s="41" t="s">
        <v>202</v>
      </c>
      <c r="H101" s="41" t="s">
        <v>504</v>
      </c>
      <c r="I101" s="41" t="s">
        <v>505</v>
      </c>
      <c r="J101" s="19" t="s">
        <v>126</v>
      </c>
      <c r="K101" s="34" t="s">
        <v>506</v>
      </c>
      <c r="L101" s="40" t="s">
        <v>507</v>
      </c>
      <c r="M101" s="34" t="s">
        <v>378</v>
      </c>
      <c r="N101" s="40" t="s">
        <v>508</v>
      </c>
      <c r="O101" s="34" t="s">
        <v>509</v>
      </c>
      <c r="P101" s="40" t="s">
        <v>46</v>
      </c>
      <c r="Q101" s="34" t="s">
        <v>248</v>
      </c>
      <c r="R101" s="20" t="s">
        <v>48</v>
      </c>
      <c r="S101" s="40">
        <v>575</v>
      </c>
      <c r="T101" s="40">
        <v>8524</v>
      </c>
      <c r="U101" s="40"/>
      <c r="V101" s="20" t="s">
        <v>249</v>
      </c>
      <c r="W101" s="40">
        <v>6496</v>
      </c>
      <c r="X101" s="20" t="s">
        <v>97</v>
      </c>
      <c r="Y101" s="20" t="s">
        <v>51</v>
      </c>
      <c r="Z101" s="40" t="e">
        <v>#N/A</v>
      </c>
      <c r="AA101" s="34"/>
      <c r="AB101" s="55" t="s">
        <v>251</v>
      </c>
      <c r="AC101" s="42">
        <v>45801</v>
      </c>
      <c r="AD101" s="42">
        <v>45957</v>
      </c>
      <c r="AE101" s="42">
        <v>45849</v>
      </c>
      <c r="AF101" s="23">
        <f t="shared" si="1"/>
        <v>156</v>
      </c>
      <c r="AG101" s="24" t="s">
        <v>54</v>
      </c>
      <c r="AH101" s="40">
        <v>35000</v>
      </c>
      <c r="AI101" s="40"/>
      <c r="AJ101" s="40"/>
      <c r="AK101" s="40">
        <v>9045</v>
      </c>
      <c r="AL101" s="44">
        <v>75140</v>
      </c>
      <c r="AM101" s="44">
        <v>119185</v>
      </c>
      <c r="AN101" s="25" t="s">
        <v>55</v>
      </c>
    </row>
    <row r="102" spans="1:41" s="31" customFormat="1" ht="30" customHeight="1">
      <c r="A102" s="16"/>
      <c r="B102" s="17">
        <v>101</v>
      </c>
      <c r="C102" s="86">
        <v>45957</v>
      </c>
      <c r="D102" s="41" t="s">
        <v>510</v>
      </c>
      <c r="E102" s="16" t="s">
        <v>511</v>
      </c>
      <c r="F102" s="16" t="s">
        <v>98</v>
      </c>
      <c r="G102" s="41" t="s">
        <v>202</v>
      </c>
      <c r="H102" s="41" t="s">
        <v>512</v>
      </c>
      <c r="I102" s="87" t="s">
        <v>513</v>
      </c>
      <c r="J102" s="19" t="s">
        <v>45</v>
      </c>
      <c r="K102" s="34" t="s">
        <v>514</v>
      </c>
      <c r="L102" s="40" t="s">
        <v>515</v>
      </c>
      <c r="M102" s="34" t="s">
        <v>378</v>
      </c>
      <c r="N102" s="34" t="s">
        <v>516</v>
      </c>
      <c r="O102" s="34" t="s">
        <v>517</v>
      </c>
      <c r="P102" s="40" t="s">
        <v>46</v>
      </c>
      <c r="Q102" s="34" t="s">
        <v>207</v>
      </c>
      <c r="R102" s="20" t="s">
        <v>48</v>
      </c>
      <c r="S102" s="40"/>
      <c r="T102" s="40"/>
      <c r="U102" s="40"/>
      <c r="V102" s="20" t="s">
        <v>454</v>
      </c>
      <c r="W102" s="40">
        <v>6984</v>
      </c>
      <c r="X102" s="20" t="s">
        <v>97</v>
      </c>
      <c r="Y102" s="20" t="s">
        <v>51</v>
      </c>
      <c r="Z102" s="40"/>
      <c r="AA102" s="34"/>
      <c r="AB102" s="20" t="s">
        <v>210</v>
      </c>
      <c r="AC102" s="42">
        <v>45689</v>
      </c>
      <c r="AD102" s="42">
        <v>45957</v>
      </c>
      <c r="AE102" s="42"/>
      <c r="AF102" s="23">
        <f t="shared" si="1"/>
        <v>268</v>
      </c>
      <c r="AG102" s="24" t="s">
        <v>85</v>
      </c>
      <c r="AH102" s="40">
        <v>16000</v>
      </c>
      <c r="AI102" s="20">
        <f t="shared" ref="AI102:AI103" si="2">8*725</f>
        <v>5800</v>
      </c>
      <c r="AJ102" s="20">
        <f t="shared" ref="AJ102:AJ103" si="3">4.5*725</f>
        <v>3262.5</v>
      </c>
      <c r="AK102" s="40">
        <v>9062</v>
      </c>
      <c r="AL102" s="44">
        <v>108782</v>
      </c>
      <c r="AM102" s="50">
        <f>AH102+AK102+AL102</f>
        <v>133844</v>
      </c>
      <c r="AN102" s="31" t="s">
        <v>132</v>
      </c>
    </row>
    <row r="103" spans="1:41" s="31" customFormat="1" ht="30" customHeight="1">
      <c r="A103" s="16"/>
      <c r="B103" s="17">
        <v>102</v>
      </c>
      <c r="C103" s="86">
        <v>45958</v>
      </c>
      <c r="D103" s="41" t="s">
        <v>518</v>
      </c>
      <c r="E103" s="16" t="s">
        <v>519</v>
      </c>
      <c r="F103" s="16" t="s">
        <v>42</v>
      </c>
      <c r="G103" s="41" t="s">
        <v>202</v>
      </c>
      <c r="H103" s="16" t="s">
        <v>520</v>
      </c>
      <c r="I103" s="88" t="s">
        <v>521</v>
      </c>
      <c r="J103" s="19" t="s">
        <v>126</v>
      </c>
      <c r="K103" s="34" t="s">
        <v>522</v>
      </c>
      <c r="L103" s="40" t="s">
        <v>523</v>
      </c>
      <c r="M103" s="34" t="s">
        <v>378</v>
      </c>
      <c r="N103" s="34" t="s">
        <v>524</v>
      </c>
      <c r="O103" s="40" t="s">
        <v>525</v>
      </c>
      <c r="P103" s="40" t="s">
        <v>46</v>
      </c>
      <c r="Q103" s="34" t="s">
        <v>526</v>
      </c>
      <c r="R103" s="20" t="s">
        <v>48</v>
      </c>
      <c r="S103" s="40">
        <v>275</v>
      </c>
      <c r="T103" s="40">
        <v>8597</v>
      </c>
      <c r="U103" s="40"/>
      <c r="V103" s="20" t="s">
        <v>454</v>
      </c>
      <c r="W103" s="40">
        <v>40</v>
      </c>
      <c r="X103" s="20" t="s">
        <v>90</v>
      </c>
      <c r="Y103" s="20" t="s">
        <v>51</v>
      </c>
      <c r="Z103" s="40"/>
      <c r="AA103" s="34"/>
      <c r="AB103" s="20" t="s">
        <v>210</v>
      </c>
      <c r="AC103" s="42">
        <v>45786</v>
      </c>
      <c r="AD103" s="42">
        <v>45959</v>
      </c>
      <c r="AE103" s="42">
        <v>45817</v>
      </c>
      <c r="AF103" s="23">
        <f t="shared" si="1"/>
        <v>173</v>
      </c>
      <c r="AG103" s="24" t="s">
        <v>54</v>
      </c>
      <c r="AH103" s="40">
        <v>10000</v>
      </c>
      <c r="AI103" s="20">
        <f t="shared" si="2"/>
        <v>5800</v>
      </c>
      <c r="AJ103" s="20">
        <f t="shared" si="3"/>
        <v>3262.5</v>
      </c>
      <c r="AK103" s="40">
        <v>9062</v>
      </c>
      <c r="AL103" s="44">
        <v>108782</v>
      </c>
      <c r="AM103" s="44">
        <v>127827</v>
      </c>
      <c r="AN103" s="31" t="s">
        <v>132</v>
      </c>
    </row>
    <row r="104" spans="1:41" s="31" customFormat="1" ht="30" customHeight="1">
      <c r="A104" s="16"/>
      <c r="B104" s="17">
        <v>103</v>
      </c>
      <c r="C104" s="86">
        <v>45960</v>
      </c>
      <c r="D104" s="41" t="s">
        <v>527</v>
      </c>
      <c r="E104" s="16" t="s">
        <v>388</v>
      </c>
      <c r="F104" s="16" t="s">
        <v>388</v>
      </c>
      <c r="G104" s="41" t="s">
        <v>71</v>
      </c>
      <c r="H104" s="16" t="s">
        <v>528</v>
      </c>
      <c r="I104" s="41" t="s">
        <v>529</v>
      </c>
      <c r="J104" s="19" t="s">
        <v>126</v>
      </c>
      <c r="K104" s="34" t="s">
        <v>530</v>
      </c>
      <c r="L104" s="40" t="s">
        <v>531</v>
      </c>
      <c r="M104" s="34" t="s">
        <v>378</v>
      </c>
      <c r="N104" s="40" t="s">
        <v>532</v>
      </c>
      <c r="O104" s="40" t="s">
        <v>533</v>
      </c>
      <c r="P104" s="40" t="s">
        <v>46</v>
      </c>
      <c r="Q104" s="34" t="s">
        <v>248</v>
      </c>
      <c r="R104" s="20" t="s">
        <v>48</v>
      </c>
      <c r="S104" s="40" t="s">
        <v>275</v>
      </c>
      <c r="T104" s="40"/>
      <c r="U104" s="40"/>
      <c r="V104" s="20" t="s">
        <v>249</v>
      </c>
      <c r="W104" s="40">
        <v>25523</v>
      </c>
      <c r="X104" s="20" t="s">
        <v>534</v>
      </c>
      <c r="Y104" s="20" t="s">
        <v>51</v>
      </c>
      <c r="Z104" s="40"/>
      <c r="AA104" s="34"/>
      <c r="AB104" s="55" t="s">
        <v>251</v>
      </c>
      <c r="AC104" s="42">
        <v>45808</v>
      </c>
      <c r="AD104" s="42">
        <v>45960</v>
      </c>
      <c r="AE104" s="42">
        <v>45838</v>
      </c>
      <c r="AF104" s="23">
        <f t="shared" si="1"/>
        <v>152</v>
      </c>
      <c r="AG104" s="24" t="s">
        <v>54</v>
      </c>
      <c r="AH104" s="40">
        <v>35000</v>
      </c>
      <c r="AI104" s="40"/>
      <c r="AJ104" s="40"/>
      <c r="AK104" s="40">
        <v>9045</v>
      </c>
      <c r="AL104" s="44">
        <v>75140</v>
      </c>
      <c r="AM104" s="44">
        <v>119185</v>
      </c>
      <c r="AN104" s="25" t="s">
        <v>55</v>
      </c>
    </row>
    <row r="105" spans="1:41" s="31" customFormat="1" ht="30" customHeight="1">
      <c r="A105" s="16"/>
      <c r="B105" s="17">
        <v>104</v>
      </c>
      <c r="C105" s="89">
        <v>45958</v>
      </c>
      <c r="D105" s="16" t="s">
        <v>535</v>
      </c>
      <c r="E105" s="16" t="s">
        <v>536</v>
      </c>
      <c r="F105" s="19" t="s">
        <v>70</v>
      </c>
      <c r="G105" s="16" t="s">
        <v>202</v>
      </c>
      <c r="H105" s="16" t="s">
        <v>537</v>
      </c>
      <c r="I105" s="90" t="s">
        <v>538</v>
      </c>
      <c r="J105" s="19" t="s">
        <v>126</v>
      </c>
      <c r="K105" s="34" t="s">
        <v>522</v>
      </c>
      <c r="L105" s="34" t="s">
        <v>498</v>
      </c>
      <c r="M105" s="34" t="s">
        <v>378</v>
      </c>
      <c r="N105" s="34" t="s">
        <v>539</v>
      </c>
      <c r="O105" s="34" t="s">
        <v>525</v>
      </c>
      <c r="P105" s="34" t="s">
        <v>46</v>
      </c>
      <c r="Q105" s="34" t="s">
        <v>526</v>
      </c>
      <c r="R105" s="20" t="s">
        <v>48</v>
      </c>
      <c r="S105" s="40" t="s">
        <v>275</v>
      </c>
      <c r="T105" s="40"/>
      <c r="U105" s="40"/>
      <c r="V105" s="20" t="s">
        <v>454</v>
      </c>
      <c r="W105" s="40">
        <v>7350</v>
      </c>
      <c r="X105" s="20" t="s">
        <v>87</v>
      </c>
      <c r="Y105" s="20" t="s">
        <v>51</v>
      </c>
      <c r="Z105" s="40"/>
      <c r="AA105" s="34"/>
      <c r="AB105" s="20" t="s">
        <v>210</v>
      </c>
      <c r="AC105" s="42">
        <v>45745</v>
      </c>
      <c r="AD105" s="42">
        <v>45958</v>
      </c>
      <c r="AE105" s="42">
        <v>45785</v>
      </c>
      <c r="AF105" s="23">
        <f t="shared" si="1"/>
        <v>213</v>
      </c>
      <c r="AG105" s="24" t="s">
        <v>85</v>
      </c>
      <c r="AH105" s="40">
        <v>10000</v>
      </c>
      <c r="AI105" s="20">
        <f>8*725</f>
        <v>5800</v>
      </c>
      <c r="AJ105" s="20">
        <f>4.5*725</f>
        <v>3262.5</v>
      </c>
      <c r="AK105" s="40">
        <v>9062</v>
      </c>
      <c r="AL105" s="44">
        <v>108782</v>
      </c>
      <c r="AM105" s="44">
        <v>127827</v>
      </c>
      <c r="AN105" s="31" t="s">
        <v>132</v>
      </c>
    </row>
    <row r="106" spans="1:41" s="31" customFormat="1" ht="30" customHeight="1">
      <c r="A106" s="16"/>
      <c r="B106" s="17">
        <v>105</v>
      </c>
      <c r="C106" s="86">
        <v>45961</v>
      </c>
      <c r="D106" s="16" t="s">
        <v>540</v>
      </c>
      <c r="E106" s="16" t="s">
        <v>42</v>
      </c>
      <c r="F106" s="19" t="s">
        <v>42</v>
      </c>
      <c r="G106" s="16" t="s">
        <v>202</v>
      </c>
      <c r="H106" s="16" t="s">
        <v>541</v>
      </c>
      <c r="I106" s="16" t="s">
        <v>542</v>
      </c>
      <c r="J106" s="41" t="s">
        <v>45</v>
      </c>
      <c r="K106" s="34" t="s">
        <v>543</v>
      </c>
      <c r="L106" s="40" t="s">
        <v>544</v>
      </c>
      <c r="M106" s="34" t="s">
        <v>378</v>
      </c>
      <c r="N106" s="40" t="s">
        <v>545</v>
      </c>
      <c r="O106" s="34" t="s">
        <v>546</v>
      </c>
      <c r="P106" s="40" t="s">
        <v>46</v>
      </c>
      <c r="Q106" s="34" t="s">
        <v>547</v>
      </c>
      <c r="R106" s="20" t="s">
        <v>48</v>
      </c>
      <c r="S106" s="40" t="s">
        <v>275</v>
      </c>
      <c r="T106" s="40"/>
      <c r="U106" s="40"/>
      <c r="V106" s="20" t="s">
        <v>249</v>
      </c>
      <c r="W106" s="40">
        <v>8358</v>
      </c>
      <c r="X106" s="20" t="s">
        <v>50</v>
      </c>
      <c r="Y106" s="20" t="s">
        <v>51</v>
      </c>
      <c r="Z106" s="40"/>
      <c r="AA106" s="34"/>
      <c r="AB106" s="55" t="s">
        <v>251</v>
      </c>
      <c r="AC106" s="42">
        <v>45717</v>
      </c>
      <c r="AD106" s="42">
        <v>45960</v>
      </c>
      <c r="AE106" s="42">
        <v>45775</v>
      </c>
      <c r="AF106" s="23">
        <f t="shared" si="1"/>
        <v>243</v>
      </c>
      <c r="AG106" s="24" t="s">
        <v>85</v>
      </c>
      <c r="AH106" s="40">
        <v>35000</v>
      </c>
      <c r="AI106" s="40"/>
      <c r="AJ106" s="40"/>
      <c r="AK106" s="40">
        <v>9045</v>
      </c>
      <c r="AL106" s="44">
        <v>75140</v>
      </c>
      <c r="AM106" s="44">
        <v>119185</v>
      </c>
      <c r="AN106" s="25" t="s">
        <v>55</v>
      </c>
    </row>
    <row r="107" spans="1:41" s="31" customFormat="1" ht="30" customHeight="1">
      <c r="A107" s="16"/>
      <c r="B107" s="17">
        <v>106</v>
      </c>
      <c r="C107" s="86">
        <v>45962</v>
      </c>
      <c r="D107" s="41" t="s">
        <v>548</v>
      </c>
      <c r="E107" s="16" t="s">
        <v>388</v>
      </c>
      <c r="F107" s="16" t="s">
        <v>388</v>
      </c>
      <c r="G107" s="41" t="s">
        <v>71</v>
      </c>
      <c r="H107" s="16" t="s">
        <v>549</v>
      </c>
      <c r="I107" s="41" t="s">
        <v>550</v>
      </c>
      <c r="J107" s="16" t="s">
        <v>551</v>
      </c>
      <c r="K107" s="34" t="s">
        <v>552</v>
      </c>
      <c r="L107" s="40" t="s">
        <v>553</v>
      </c>
      <c r="M107" s="34" t="s">
        <v>378</v>
      </c>
      <c r="N107" s="40" t="s">
        <v>554</v>
      </c>
      <c r="O107" s="40" t="s">
        <v>533</v>
      </c>
      <c r="P107" s="40" t="s">
        <v>46</v>
      </c>
      <c r="Q107" s="34" t="s">
        <v>248</v>
      </c>
      <c r="R107" s="20" t="s">
        <v>48</v>
      </c>
      <c r="S107" s="40" t="s">
        <v>275</v>
      </c>
      <c r="T107" s="40"/>
      <c r="U107" s="40"/>
      <c r="V107" s="20" t="s">
        <v>249</v>
      </c>
      <c r="W107" s="40">
        <v>31</v>
      </c>
      <c r="X107" s="20" t="s">
        <v>90</v>
      </c>
      <c r="Y107" s="20" t="s">
        <v>51</v>
      </c>
      <c r="Z107" s="40"/>
      <c r="AA107" s="34"/>
      <c r="AB107" s="55" t="s">
        <v>251</v>
      </c>
      <c r="AC107" s="42">
        <v>45915</v>
      </c>
      <c r="AD107" s="42">
        <v>45962</v>
      </c>
      <c r="AE107" s="42">
        <v>45958</v>
      </c>
      <c r="AF107" s="23">
        <f t="shared" si="1"/>
        <v>47</v>
      </c>
      <c r="AG107" s="24" t="s">
        <v>101</v>
      </c>
      <c r="AH107" s="40">
        <v>35000</v>
      </c>
      <c r="AI107" s="40"/>
      <c r="AJ107" s="40"/>
      <c r="AK107" s="40">
        <v>9045</v>
      </c>
      <c r="AL107" s="44">
        <v>75140</v>
      </c>
      <c r="AM107" s="44">
        <v>119185</v>
      </c>
      <c r="AN107" s="25" t="s">
        <v>55</v>
      </c>
    </row>
    <row r="108" spans="1:41" s="31" customFormat="1" ht="30" customHeight="1">
      <c r="A108" s="16"/>
      <c r="B108" s="17">
        <v>107</v>
      </c>
      <c r="C108" s="86">
        <v>45964</v>
      </c>
      <c r="D108" s="41" t="s">
        <v>555</v>
      </c>
      <c r="E108" s="16" t="s">
        <v>244</v>
      </c>
      <c r="F108" s="49" t="s">
        <v>244</v>
      </c>
      <c r="G108" s="41" t="s">
        <v>71</v>
      </c>
      <c r="H108" s="16" t="s">
        <v>556</v>
      </c>
      <c r="I108" s="41" t="s">
        <v>557</v>
      </c>
      <c r="J108" s="19" t="s">
        <v>126</v>
      </c>
      <c r="K108" s="34" t="s">
        <v>552</v>
      </c>
      <c r="L108" s="40" t="s">
        <v>553</v>
      </c>
      <c r="M108" s="34" t="s">
        <v>378</v>
      </c>
      <c r="N108" s="40" t="s">
        <v>554</v>
      </c>
      <c r="O108" s="40" t="s">
        <v>533</v>
      </c>
      <c r="P108" s="40" t="s">
        <v>46</v>
      </c>
      <c r="Q108" s="34" t="s">
        <v>248</v>
      </c>
      <c r="R108" s="20" t="s">
        <v>48</v>
      </c>
      <c r="S108" s="31">
        <v>575</v>
      </c>
      <c r="T108" s="31">
        <v>8896</v>
      </c>
      <c r="V108" s="20" t="s">
        <v>249</v>
      </c>
      <c r="W108" s="68">
        <v>10873</v>
      </c>
      <c r="X108" s="20" t="s">
        <v>67</v>
      </c>
      <c r="Y108" s="20" t="s">
        <v>51</v>
      </c>
      <c r="Z108" s="40"/>
      <c r="AA108" s="34"/>
      <c r="AB108" s="55" t="s">
        <v>251</v>
      </c>
      <c r="AC108" s="42">
        <v>45768</v>
      </c>
      <c r="AD108" s="42">
        <v>45964</v>
      </c>
      <c r="AE108" s="42">
        <v>45811</v>
      </c>
      <c r="AF108" s="23">
        <f t="shared" si="1"/>
        <v>196</v>
      </c>
      <c r="AG108" s="24" t="s">
        <v>85</v>
      </c>
      <c r="AH108" s="40">
        <v>35000</v>
      </c>
      <c r="AI108" s="40"/>
      <c r="AJ108" s="40"/>
      <c r="AK108" s="40">
        <v>9045</v>
      </c>
      <c r="AL108" s="44">
        <v>75140</v>
      </c>
      <c r="AM108" s="44">
        <v>119185</v>
      </c>
      <c r="AN108" s="25" t="s">
        <v>55</v>
      </c>
    </row>
    <row r="109" spans="1:41" s="31" customFormat="1" ht="30" customHeight="1">
      <c r="A109" s="16"/>
      <c r="B109" s="17">
        <v>108</v>
      </c>
      <c r="C109" s="86">
        <v>45965</v>
      </c>
      <c r="D109" s="41" t="s">
        <v>558</v>
      </c>
      <c r="E109" s="16" t="s">
        <v>559</v>
      </c>
      <c r="F109" s="19" t="s">
        <v>92</v>
      </c>
      <c r="G109" s="41" t="s">
        <v>560</v>
      </c>
      <c r="H109" s="16" t="s">
        <v>561</v>
      </c>
      <c r="I109" s="41" t="s">
        <v>562</v>
      </c>
      <c r="J109" s="19" t="s">
        <v>126</v>
      </c>
      <c r="K109" s="34" t="s">
        <v>563</v>
      </c>
      <c r="L109" s="40" t="s">
        <v>523</v>
      </c>
      <c r="M109" s="34" t="s">
        <v>378</v>
      </c>
      <c r="N109" s="40" t="s">
        <v>564</v>
      </c>
      <c r="O109" s="34" t="s">
        <v>565</v>
      </c>
      <c r="P109" s="40" t="s">
        <v>46</v>
      </c>
      <c r="Q109" s="34" t="s">
        <v>566</v>
      </c>
      <c r="R109" s="20" t="s">
        <v>48</v>
      </c>
      <c r="S109" s="72" t="s">
        <v>275</v>
      </c>
      <c r="T109" s="40"/>
      <c r="U109" s="73"/>
      <c r="V109" s="34" t="s">
        <v>567</v>
      </c>
      <c r="W109" s="40">
        <v>2447</v>
      </c>
      <c r="X109" s="20" t="s">
        <v>60</v>
      </c>
      <c r="Y109" s="20" t="s">
        <v>51</v>
      </c>
      <c r="Z109" s="40"/>
      <c r="AA109" s="34"/>
      <c r="AB109" s="40" t="s">
        <v>131</v>
      </c>
      <c r="AC109" s="42">
        <v>45791</v>
      </c>
      <c r="AD109" s="42">
        <v>45965</v>
      </c>
      <c r="AE109" s="42">
        <v>45811</v>
      </c>
      <c r="AF109" s="23">
        <f t="shared" si="1"/>
        <v>174</v>
      </c>
      <c r="AG109" s="24" t="s">
        <v>54</v>
      </c>
      <c r="AH109" s="40">
        <v>12000</v>
      </c>
      <c r="AI109" s="40"/>
      <c r="AJ109" s="40"/>
      <c r="AK109" s="40">
        <v>9045</v>
      </c>
      <c r="AL109" s="44">
        <v>11200</v>
      </c>
      <c r="AM109" s="44">
        <v>32245</v>
      </c>
      <c r="AN109" s="31" t="s">
        <v>132</v>
      </c>
    </row>
    <row r="110" spans="1:41" s="31" customFormat="1" ht="30" customHeight="1">
      <c r="A110" s="16"/>
      <c r="B110" s="17">
        <v>109</v>
      </c>
      <c r="C110" s="86">
        <v>45758</v>
      </c>
      <c r="D110" s="41" t="s">
        <v>568</v>
      </c>
      <c r="E110" s="16" t="s">
        <v>569</v>
      </c>
      <c r="F110" s="16" t="s">
        <v>569</v>
      </c>
      <c r="G110" s="41" t="s">
        <v>560</v>
      </c>
      <c r="H110" s="16" t="s">
        <v>570</v>
      </c>
      <c r="I110" s="41" t="s">
        <v>571</v>
      </c>
      <c r="J110" s="19" t="s">
        <v>126</v>
      </c>
      <c r="K110" s="34" t="s">
        <v>552</v>
      </c>
      <c r="L110" s="40" t="s">
        <v>572</v>
      </c>
      <c r="M110" s="34" t="s">
        <v>378</v>
      </c>
      <c r="N110" s="40" t="s">
        <v>532</v>
      </c>
      <c r="O110" s="40" t="s">
        <v>533</v>
      </c>
      <c r="P110" s="40" t="s">
        <v>46</v>
      </c>
      <c r="Q110" s="34" t="s">
        <v>248</v>
      </c>
      <c r="R110" s="20" t="s">
        <v>48</v>
      </c>
      <c r="S110" s="40">
        <v>575</v>
      </c>
      <c r="T110" s="29">
        <v>8963</v>
      </c>
      <c r="U110" s="40"/>
      <c r="V110" s="20" t="s">
        <v>249</v>
      </c>
      <c r="W110" s="40">
        <v>5501</v>
      </c>
      <c r="X110" s="20" t="s">
        <v>64</v>
      </c>
      <c r="Y110" s="20" t="s">
        <v>51</v>
      </c>
      <c r="Z110" s="40"/>
      <c r="AA110" s="34"/>
      <c r="AB110" s="55" t="s">
        <v>251</v>
      </c>
      <c r="AC110" s="42">
        <v>45745</v>
      </c>
      <c r="AD110" s="42">
        <v>45965</v>
      </c>
      <c r="AE110" s="42">
        <v>45783</v>
      </c>
      <c r="AF110" s="23">
        <f t="shared" si="1"/>
        <v>220</v>
      </c>
      <c r="AG110" s="24" t="s">
        <v>85</v>
      </c>
      <c r="AH110" s="40">
        <v>35000</v>
      </c>
      <c r="AI110" s="40"/>
      <c r="AJ110" s="40"/>
      <c r="AK110" s="40">
        <v>9045</v>
      </c>
      <c r="AL110" s="44">
        <v>75140</v>
      </c>
      <c r="AM110" s="44">
        <v>119185</v>
      </c>
      <c r="AN110" s="25" t="s">
        <v>55</v>
      </c>
    </row>
    <row r="111" spans="1:41" s="31" customFormat="1" ht="46" customHeight="1">
      <c r="A111" s="16"/>
      <c r="B111" s="17">
        <v>110</v>
      </c>
      <c r="C111" s="86">
        <v>45962</v>
      </c>
      <c r="D111" s="41" t="s">
        <v>573</v>
      </c>
      <c r="E111" s="41" t="s">
        <v>234</v>
      </c>
      <c r="F111" s="49" t="s">
        <v>235</v>
      </c>
      <c r="G111" s="41" t="s">
        <v>71</v>
      </c>
      <c r="H111" s="16" t="s">
        <v>574</v>
      </c>
      <c r="I111" s="16" t="s">
        <v>575</v>
      </c>
      <c r="J111" s="19" t="s">
        <v>126</v>
      </c>
      <c r="K111" s="34" t="s">
        <v>576</v>
      </c>
      <c r="L111" s="40" t="s">
        <v>577</v>
      </c>
      <c r="M111" s="34" t="s">
        <v>74</v>
      </c>
      <c r="N111" s="40" t="s">
        <v>578</v>
      </c>
      <c r="O111" s="34" t="s">
        <v>579</v>
      </c>
      <c r="P111" s="40" t="s">
        <v>46</v>
      </c>
      <c r="Q111" s="34" t="s">
        <v>153</v>
      </c>
      <c r="R111" s="20" t="s">
        <v>48</v>
      </c>
      <c r="S111" s="40"/>
      <c r="T111" s="71"/>
      <c r="U111" s="40"/>
      <c r="V111" s="34" t="s">
        <v>580</v>
      </c>
      <c r="W111" s="40">
        <v>2450</v>
      </c>
      <c r="X111" s="20" t="s">
        <v>60</v>
      </c>
      <c r="Y111" s="40" t="s">
        <v>141</v>
      </c>
      <c r="Z111" s="40"/>
      <c r="AA111" s="34"/>
      <c r="AB111" s="40" t="s">
        <v>185</v>
      </c>
      <c r="AC111" s="91">
        <v>45717</v>
      </c>
      <c r="AD111" s="42">
        <v>45965</v>
      </c>
      <c r="AE111" s="42">
        <v>45755</v>
      </c>
      <c r="AF111" s="23">
        <f t="shared" si="1"/>
        <v>248</v>
      </c>
      <c r="AG111" s="24" t="s">
        <v>85</v>
      </c>
      <c r="AH111" s="40">
        <v>0</v>
      </c>
      <c r="AI111" s="40"/>
      <c r="AJ111" s="40"/>
      <c r="AK111" s="40">
        <v>5945</v>
      </c>
      <c r="AL111" s="44">
        <v>1038640.9600000001</v>
      </c>
      <c r="AM111" s="44">
        <v>1044585.9600000001</v>
      </c>
      <c r="AN111" s="31" t="s">
        <v>132</v>
      </c>
      <c r="AO111" s="31" t="s">
        <v>581</v>
      </c>
    </row>
    <row r="112" spans="1:41" s="31" customFormat="1" ht="46" customHeight="1">
      <c r="A112" s="16"/>
      <c r="B112" s="17">
        <v>111</v>
      </c>
      <c r="C112" s="86">
        <v>45962</v>
      </c>
      <c r="D112" s="41" t="s">
        <v>573</v>
      </c>
      <c r="E112" s="41" t="s">
        <v>234</v>
      </c>
      <c r="F112" s="49" t="s">
        <v>235</v>
      </c>
      <c r="G112" s="41" t="s">
        <v>71</v>
      </c>
      <c r="H112" s="16" t="s">
        <v>582</v>
      </c>
      <c r="I112" s="16" t="s">
        <v>583</v>
      </c>
      <c r="J112" s="19" t="s">
        <v>126</v>
      </c>
      <c r="K112" s="34" t="s">
        <v>584</v>
      </c>
      <c r="L112" s="40" t="s">
        <v>577</v>
      </c>
      <c r="M112" s="34" t="s">
        <v>74</v>
      </c>
      <c r="N112" s="34" t="s">
        <v>585</v>
      </c>
      <c r="O112" s="34" t="s">
        <v>586</v>
      </c>
      <c r="P112" s="40" t="s">
        <v>46</v>
      </c>
      <c r="Q112" s="34" t="s">
        <v>153</v>
      </c>
      <c r="R112" s="20" t="s">
        <v>48</v>
      </c>
      <c r="S112" s="72"/>
      <c r="T112" s="71"/>
      <c r="U112" s="73"/>
      <c r="V112" s="34" t="s">
        <v>580</v>
      </c>
      <c r="W112" s="40">
        <v>5231</v>
      </c>
      <c r="X112" s="20" t="s">
        <v>64</v>
      </c>
      <c r="Y112" s="40" t="s">
        <v>141</v>
      </c>
      <c r="Z112" s="40"/>
      <c r="AA112" s="34"/>
      <c r="AB112" s="40" t="s">
        <v>185</v>
      </c>
      <c r="AC112" s="91">
        <v>45809</v>
      </c>
      <c r="AD112" s="42">
        <v>45965</v>
      </c>
      <c r="AE112" s="42"/>
      <c r="AF112" s="23">
        <f t="shared" si="1"/>
        <v>156</v>
      </c>
      <c r="AG112" s="24" t="s">
        <v>54</v>
      </c>
      <c r="AH112" s="40">
        <v>0</v>
      </c>
      <c r="AI112" s="40"/>
      <c r="AJ112" s="40"/>
      <c r="AK112" s="40">
        <v>5945</v>
      </c>
      <c r="AL112" s="44">
        <v>1038640.9600000001</v>
      </c>
      <c r="AM112" s="44">
        <v>1044585.9600000001</v>
      </c>
      <c r="AN112" s="31" t="s">
        <v>132</v>
      </c>
    </row>
    <row r="113" spans="1:41" s="105" customFormat="1" ht="30" customHeight="1">
      <c r="A113" s="92"/>
      <c r="B113" s="17">
        <v>112</v>
      </c>
      <c r="C113" s="93">
        <v>45967</v>
      </c>
      <c r="D113" s="87" t="s">
        <v>587</v>
      </c>
      <c r="E113" s="87" t="s">
        <v>588</v>
      </c>
      <c r="F113" s="94" t="s">
        <v>88</v>
      </c>
      <c r="G113" s="87" t="s">
        <v>589</v>
      </c>
      <c r="H113" s="92" t="s">
        <v>590</v>
      </c>
      <c r="I113" s="87" t="s">
        <v>591</v>
      </c>
      <c r="J113" s="94" t="s">
        <v>126</v>
      </c>
      <c r="K113" s="95" t="s">
        <v>592</v>
      </c>
      <c r="L113" s="96" t="s">
        <v>531</v>
      </c>
      <c r="M113" s="95" t="s">
        <v>378</v>
      </c>
      <c r="N113" s="96" t="s">
        <v>593</v>
      </c>
      <c r="O113" s="96"/>
      <c r="P113" s="96" t="s">
        <v>46</v>
      </c>
      <c r="Q113" s="95" t="s">
        <v>131</v>
      </c>
      <c r="R113" s="97" t="s">
        <v>48</v>
      </c>
      <c r="S113" s="98"/>
      <c r="T113" s="96"/>
      <c r="U113" s="99"/>
      <c r="V113" s="95" t="s">
        <v>594</v>
      </c>
      <c r="W113" s="96">
        <v>354</v>
      </c>
      <c r="X113" s="97" t="s">
        <v>90</v>
      </c>
      <c r="Y113" s="97" t="s">
        <v>51</v>
      </c>
      <c r="Z113" s="96"/>
      <c r="AA113" s="95"/>
      <c r="AB113" s="96" t="s">
        <v>131</v>
      </c>
      <c r="AC113" s="100">
        <v>45748</v>
      </c>
      <c r="AD113" s="101">
        <v>45965</v>
      </c>
      <c r="AE113" s="101">
        <v>45839</v>
      </c>
      <c r="AF113" s="102">
        <f t="shared" si="1"/>
        <v>217</v>
      </c>
      <c r="AG113" s="103" t="s">
        <v>85</v>
      </c>
      <c r="AH113" s="96">
        <f>127*20*2</f>
        <v>5080</v>
      </c>
      <c r="AI113" s="96"/>
      <c r="AJ113" s="96"/>
      <c r="AK113" s="96">
        <v>9045</v>
      </c>
      <c r="AL113" s="104">
        <v>11200</v>
      </c>
      <c r="AM113" s="104">
        <f>AH113+AK113+AL113</f>
        <v>25325</v>
      </c>
      <c r="AN113" s="25" t="s">
        <v>55</v>
      </c>
    </row>
    <row r="114" spans="1:41" s="31" customFormat="1" ht="30" customHeight="1">
      <c r="A114" s="16"/>
      <c r="B114" s="17">
        <v>113</v>
      </c>
      <c r="C114" s="106">
        <v>45973.659080983794</v>
      </c>
      <c r="D114" s="41" t="s">
        <v>595</v>
      </c>
      <c r="E114" s="41" t="s">
        <v>92</v>
      </c>
      <c r="F114" s="19" t="s">
        <v>92</v>
      </c>
      <c r="G114" s="107" t="s">
        <v>459</v>
      </c>
      <c r="H114" s="16" t="s">
        <v>596</v>
      </c>
      <c r="I114" s="41" t="s">
        <v>597</v>
      </c>
      <c r="J114" s="19" t="s">
        <v>126</v>
      </c>
      <c r="K114" s="34" t="s">
        <v>598</v>
      </c>
      <c r="L114" s="29" t="s">
        <v>544</v>
      </c>
      <c r="M114" s="34" t="s">
        <v>378</v>
      </c>
      <c r="N114" s="20" t="s">
        <v>599</v>
      </c>
      <c r="O114" s="20" t="s">
        <v>599</v>
      </c>
      <c r="P114" s="29" t="s">
        <v>46</v>
      </c>
      <c r="Q114" s="34" t="s">
        <v>248</v>
      </c>
      <c r="R114" s="20" t="s">
        <v>48</v>
      </c>
      <c r="S114" s="40"/>
      <c r="T114" s="29"/>
      <c r="U114" s="40"/>
      <c r="V114" s="20" t="s">
        <v>249</v>
      </c>
      <c r="W114" s="40">
        <v>5303</v>
      </c>
      <c r="X114" s="20" t="s">
        <v>64</v>
      </c>
      <c r="Y114" s="20" t="s">
        <v>51</v>
      </c>
      <c r="Z114" s="40"/>
      <c r="AA114" s="34"/>
      <c r="AB114" s="55" t="s">
        <v>251</v>
      </c>
      <c r="AC114" s="91">
        <v>45809</v>
      </c>
      <c r="AD114" s="42">
        <v>45965</v>
      </c>
      <c r="AE114" s="42">
        <v>45903</v>
      </c>
      <c r="AF114" s="23">
        <f t="shared" si="1"/>
        <v>156</v>
      </c>
      <c r="AG114" s="24" t="s">
        <v>54</v>
      </c>
      <c r="AH114" s="40">
        <v>1000</v>
      </c>
      <c r="AI114" s="40"/>
      <c r="AJ114" s="40"/>
      <c r="AK114" s="40">
        <v>9045</v>
      </c>
      <c r="AL114" s="44">
        <v>75140</v>
      </c>
      <c r="AM114" s="44">
        <f t="shared" ref="AM114:AM196" si="4">AH114+AK114+AL114</f>
        <v>85185</v>
      </c>
      <c r="AN114" s="25" t="s">
        <v>55</v>
      </c>
    </row>
    <row r="115" spans="1:41" s="31" customFormat="1" ht="30" customHeight="1">
      <c r="A115" s="16"/>
      <c r="B115" s="17">
        <v>114</v>
      </c>
      <c r="C115" s="106">
        <v>45976.59652777778</v>
      </c>
      <c r="D115" s="107" t="s">
        <v>600</v>
      </c>
      <c r="E115" s="107" t="s">
        <v>388</v>
      </c>
      <c r="F115" s="16" t="s">
        <v>388</v>
      </c>
      <c r="G115" s="107" t="s">
        <v>71</v>
      </c>
      <c r="H115" s="16" t="s">
        <v>601</v>
      </c>
      <c r="I115" s="107" t="s">
        <v>602</v>
      </c>
      <c r="J115" s="19" t="s">
        <v>126</v>
      </c>
      <c r="K115" s="20" t="s">
        <v>603</v>
      </c>
      <c r="L115" s="29" t="s">
        <v>523</v>
      </c>
      <c r="M115" s="29" t="s">
        <v>378</v>
      </c>
      <c r="N115" s="29" t="s">
        <v>599</v>
      </c>
      <c r="O115" s="29" t="s">
        <v>599</v>
      </c>
      <c r="P115" s="29" t="s">
        <v>46</v>
      </c>
      <c r="Q115" s="20" t="s">
        <v>248</v>
      </c>
      <c r="R115" s="20" t="s">
        <v>48</v>
      </c>
      <c r="S115" s="40"/>
      <c r="T115" s="40"/>
      <c r="U115" s="40"/>
      <c r="V115" s="20" t="s">
        <v>249</v>
      </c>
      <c r="W115" s="40">
        <v>1048</v>
      </c>
      <c r="X115" s="20" t="s">
        <v>123</v>
      </c>
      <c r="Y115" s="20" t="s">
        <v>51</v>
      </c>
      <c r="Z115" s="40"/>
      <c r="AA115" s="34"/>
      <c r="AB115" s="55" t="s">
        <v>251</v>
      </c>
      <c r="AC115" s="91">
        <v>45931</v>
      </c>
      <c r="AD115" s="42">
        <v>45965</v>
      </c>
      <c r="AE115" s="42">
        <v>45946</v>
      </c>
      <c r="AF115" s="23">
        <f t="shared" si="1"/>
        <v>34</v>
      </c>
      <c r="AG115" s="24" t="s">
        <v>101</v>
      </c>
      <c r="AH115" s="40">
        <f>513*20*2</f>
        <v>20520</v>
      </c>
      <c r="AI115" s="40"/>
      <c r="AJ115" s="40"/>
      <c r="AK115" s="40">
        <v>9045</v>
      </c>
      <c r="AL115" s="44">
        <v>75140</v>
      </c>
      <c r="AM115" s="44">
        <f t="shared" si="4"/>
        <v>104705</v>
      </c>
      <c r="AN115" s="25" t="s">
        <v>55</v>
      </c>
    </row>
    <row r="116" spans="1:41" ht="30" customHeight="1">
      <c r="A116" s="16"/>
      <c r="B116" s="17">
        <v>115</v>
      </c>
      <c r="C116" s="108">
        <v>45966.401388888888</v>
      </c>
      <c r="D116" s="19" t="s">
        <v>604</v>
      </c>
      <c r="E116" s="19" t="s">
        <v>605</v>
      </c>
      <c r="F116" s="19" t="s">
        <v>105</v>
      </c>
      <c r="G116" s="19" t="s">
        <v>71</v>
      </c>
      <c r="H116" s="16" t="s">
        <v>606</v>
      </c>
      <c r="I116" s="19" t="s">
        <v>607</v>
      </c>
      <c r="J116" s="19" t="s">
        <v>126</v>
      </c>
      <c r="K116" s="20" t="s">
        <v>608</v>
      </c>
      <c r="L116" s="20" t="s">
        <v>572</v>
      </c>
      <c r="M116" s="34" t="s">
        <v>378</v>
      </c>
      <c r="N116" s="20" t="s">
        <v>609</v>
      </c>
      <c r="O116" s="20" t="s">
        <v>610</v>
      </c>
      <c r="P116" s="20" t="s">
        <v>46</v>
      </c>
      <c r="Q116" s="20" t="s">
        <v>47</v>
      </c>
      <c r="R116" s="20" t="s">
        <v>48</v>
      </c>
      <c r="S116" s="34"/>
      <c r="U116" s="34"/>
      <c r="V116" s="20" t="s">
        <v>49</v>
      </c>
      <c r="W116" s="34">
        <v>12774</v>
      </c>
      <c r="X116" s="20" t="s">
        <v>67</v>
      </c>
      <c r="Y116" s="20" t="s">
        <v>51</v>
      </c>
      <c r="Z116" s="34"/>
      <c r="AA116" s="34"/>
      <c r="AB116" s="20" t="s">
        <v>47</v>
      </c>
      <c r="AC116" s="109">
        <v>45689</v>
      </c>
      <c r="AD116" s="42">
        <v>45965</v>
      </c>
      <c r="AE116" s="42">
        <v>45783</v>
      </c>
      <c r="AF116" s="23">
        <f t="shared" si="1"/>
        <v>276</v>
      </c>
      <c r="AG116" s="110" t="s">
        <v>611</v>
      </c>
      <c r="AH116" s="20">
        <v>80000</v>
      </c>
      <c r="AI116" s="20"/>
      <c r="AJ116" s="20"/>
      <c r="AK116" s="34">
        <v>8945</v>
      </c>
      <c r="AL116" s="50">
        <v>815</v>
      </c>
      <c r="AM116" s="50">
        <v>89760</v>
      </c>
      <c r="AN116" s="25" t="s">
        <v>55</v>
      </c>
    </row>
    <row r="117" spans="1:41" s="31" customFormat="1" ht="30" customHeight="1">
      <c r="A117" s="16"/>
      <c r="B117" s="17">
        <v>116</v>
      </c>
      <c r="C117" s="106">
        <v>45980.504166666666</v>
      </c>
      <c r="D117" s="16" t="s">
        <v>612</v>
      </c>
      <c r="E117" s="16" t="s">
        <v>613</v>
      </c>
      <c r="F117" s="19" t="s">
        <v>98</v>
      </c>
      <c r="G117" s="41" t="s">
        <v>71</v>
      </c>
      <c r="H117" s="16" t="s">
        <v>614</v>
      </c>
      <c r="I117" s="107" t="s">
        <v>615</v>
      </c>
      <c r="J117" s="19" t="s">
        <v>126</v>
      </c>
      <c r="K117" s="34" t="s">
        <v>616</v>
      </c>
      <c r="L117" s="40" t="s">
        <v>498</v>
      </c>
      <c r="M117" s="34" t="s">
        <v>378</v>
      </c>
      <c r="N117" s="34" t="s">
        <v>617</v>
      </c>
      <c r="O117" s="40" t="s">
        <v>618</v>
      </c>
      <c r="P117" s="40" t="s">
        <v>46</v>
      </c>
      <c r="Q117" s="34" t="s">
        <v>207</v>
      </c>
      <c r="R117" s="20" t="s">
        <v>48</v>
      </c>
      <c r="S117" s="40"/>
      <c r="T117" s="71"/>
      <c r="U117" s="40"/>
      <c r="V117" s="34" t="s">
        <v>208</v>
      </c>
      <c r="W117" s="40">
        <v>3928</v>
      </c>
      <c r="X117" s="20" t="s">
        <v>94</v>
      </c>
      <c r="Y117" s="20" t="s">
        <v>51</v>
      </c>
      <c r="Z117" s="40"/>
      <c r="AA117" s="34"/>
      <c r="AB117" s="20" t="s">
        <v>210</v>
      </c>
      <c r="AC117" s="91">
        <v>45839</v>
      </c>
      <c r="AD117" s="42">
        <v>45965</v>
      </c>
      <c r="AE117" s="42">
        <v>45945</v>
      </c>
      <c r="AF117" s="23">
        <f t="shared" si="1"/>
        <v>126</v>
      </c>
      <c r="AG117" s="24" t="s">
        <v>54</v>
      </c>
      <c r="AH117" s="20">
        <v>80000</v>
      </c>
      <c r="AI117" s="20"/>
      <c r="AJ117" s="20"/>
      <c r="AK117" s="40">
        <v>9045</v>
      </c>
      <c r="AL117" s="44">
        <v>108782</v>
      </c>
      <c r="AM117" s="44">
        <f t="shared" si="4"/>
        <v>197827</v>
      </c>
      <c r="AN117" s="31" t="s">
        <v>132</v>
      </c>
    </row>
    <row r="118" spans="1:41" s="31" customFormat="1" ht="30" customHeight="1">
      <c r="A118" s="16"/>
      <c r="B118" s="17">
        <v>117</v>
      </c>
      <c r="C118" s="106">
        <v>45976.759722222225</v>
      </c>
      <c r="D118" s="16" t="s">
        <v>619</v>
      </c>
      <c r="E118" s="16" t="s">
        <v>620</v>
      </c>
      <c r="F118" s="16" t="s">
        <v>388</v>
      </c>
      <c r="G118" s="41" t="s">
        <v>71</v>
      </c>
      <c r="H118" s="16" t="s">
        <v>621</v>
      </c>
      <c r="I118" s="107" t="s">
        <v>622</v>
      </c>
      <c r="J118" s="19" t="s">
        <v>126</v>
      </c>
      <c r="K118" s="34" t="s">
        <v>623</v>
      </c>
      <c r="L118" s="40" t="s">
        <v>544</v>
      </c>
      <c r="M118" s="34" t="s">
        <v>378</v>
      </c>
      <c r="N118" s="34" t="s">
        <v>624</v>
      </c>
      <c r="O118" s="40" t="s">
        <v>624</v>
      </c>
      <c r="P118" s="40" t="s">
        <v>46</v>
      </c>
      <c r="Q118" s="34" t="s">
        <v>131</v>
      </c>
      <c r="R118" s="20" t="s">
        <v>48</v>
      </c>
      <c r="S118" s="72"/>
      <c r="T118" s="40"/>
      <c r="U118" s="73"/>
      <c r="V118" s="34"/>
      <c r="W118" s="40">
        <v>3605</v>
      </c>
      <c r="X118" s="20" t="s">
        <v>94</v>
      </c>
      <c r="Y118" s="20" t="s">
        <v>51</v>
      </c>
      <c r="Z118" s="40"/>
      <c r="AA118" s="34"/>
      <c r="AB118" s="40" t="s">
        <v>131</v>
      </c>
      <c r="AC118" s="91">
        <v>45627</v>
      </c>
      <c r="AD118" s="42">
        <v>45965</v>
      </c>
      <c r="AE118" s="42">
        <v>45902</v>
      </c>
      <c r="AF118" s="23">
        <f t="shared" si="1"/>
        <v>338</v>
      </c>
      <c r="AG118" s="110" t="s">
        <v>611</v>
      </c>
      <c r="AH118" s="20">
        <v>80000</v>
      </c>
      <c r="AI118" s="20"/>
      <c r="AJ118" s="20"/>
      <c r="AK118" s="40">
        <v>9045</v>
      </c>
      <c r="AL118" s="44">
        <v>11200</v>
      </c>
      <c r="AM118" s="44">
        <f>AH118+AK118+AL118</f>
        <v>100245</v>
      </c>
      <c r="AN118" s="25" t="s">
        <v>55</v>
      </c>
    </row>
    <row r="119" spans="1:41" s="31" customFormat="1" ht="30" customHeight="1">
      <c r="A119" s="16"/>
      <c r="B119" s="17">
        <v>118</v>
      </c>
      <c r="C119" s="106">
        <v>45985.718055555553</v>
      </c>
      <c r="D119" s="16" t="s">
        <v>625</v>
      </c>
      <c r="E119" s="16" t="s">
        <v>244</v>
      </c>
      <c r="F119" s="49" t="s">
        <v>244</v>
      </c>
      <c r="G119" s="41" t="s">
        <v>71</v>
      </c>
      <c r="H119" s="16" t="s">
        <v>626</v>
      </c>
      <c r="I119" s="107" t="s">
        <v>627</v>
      </c>
      <c r="J119" s="16" t="s">
        <v>551</v>
      </c>
      <c r="K119" s="34" t="s">
        <v>599</v>
      </c>
      <c r="L119" s="40" t="s">
        <v>553</v>
      </c>
      <c r="M119" s="34" t="s">
        <v>378</v>
      </c>
      <c r="N119" s="34" t="s">
        <v>599</v>
      </c>
      <c r="O119" s="40" t="s">
        <v>599</v>
      </c>
      <c r="P119" s="40" t="s">
        <v>46</v>
      </c>
      <c r="Q119" s="34" t="s">
        <v>248</v>
      </c>
      <c r="R119" s="20" t="s">
        <v>48</v>
      </c>
      <c r="S119" s="40"/>
      <c r="T119" s="29"/>
      <c r="U119" s="40"/>
      <c r="V119" s="20" t="s">
        <v>249</v>
      </c>
      <c r="W119" s="40">
        <v>2071</v>
      </c>
      <c r="X119" s="20" t="s">
        <v>60</v>
      </c>
      <c r="Y119" s="20" t="s">
        <v>51</v>
      </c>
      <c r="Z119" s="40"/>
      <c r="AA119" s="34"/>
      <c r="AB119" s="55" t="s">
        <v>47</v>
      </c>
      <c r="AC119" s="91">
        <v>45689</v>
      </c>
      <c r="AD119" s="42">
        <v>45965</v>
      </c>
      <c r="AE119" s="42"/>
      <c r="AF119" s="23">
        <f t="shared" si="1"/>
        <v>276</v>
      </c>
      <c r="AG119" s="110" t="s">
        <v>611</v>
      </c>
      <c r="AH119" s="20">
        <v>80000</v>
      </c>
      <c r="AI119" s="20"/>
      <c r="AJ119" s="20"/>
      <c r="AK119" s="40">
        <v>9045</v>
      </c>
      <c r="AL119" s="44">
        <v>75140</v>
      </c>
      <c r="AM119" s="44">
        <f t="shared" si="4"/>
        <v>164185</v>
      </c>
      <c r="AN119" s="25" t="s">
        <v>55</v>
      </c>
    </row>
    <row r="120" spans="1:41" s="31" customFormat="1" ht="30" customHeight="1">
      <c r="A120" s="16"/>
      <c r="B120" s="17">
        <v>119</v>
      </c>
      <c r="C120" s="106">
        <v>45986.65347222222</v>
      </c>
      <c r="D120" s="16" t="s">
        <v>628</v>
      </c>
      <c r="E120" s="16" t="s">
        <v>629</v>
      </c>
      <c r="F120" s="19" t="s">
        <v>70</v>
      </c>
      <c r="G120" s="41" t="s">
        <v>71</v>
      </c>
      <c r="H120" s="16" t="s">
        <v>630</v>
      </c>
      <c r="I120" s="41" t="s">
        <v>631</v>
      </c>
      <c r="J120" s="41" t="s">
        <v>45</v>
      </c>
      <c r="K120" s="34" t="s">
        <v>632</v>
      </c>
      <c r="L120" s="40" t="s">
        <v>553</v>
      </c>
      <c r="M120" s="34" t="s">
        <v>74</v>
      </c>
      <c r="N120" s="34" t="s">
        <v>633</v>
      </c>
      <c r="O120" s="34" t="s">
        <v>634</v>
      </c>
      <c r="P120" s="40" t="s">
        <v>46</v>
      </c>
      <c r="Q120" s="34" t="s">
        <v>153</v>
      </c>
      <c r="R120" s="20" t="s">
        <v>48</v>
      </c>
      <c r="S120" s="40"/>
      <c r="T120" s="40"/>
      <c r="U120" s="40"/>
      <c r="V120" s="40" t="s">
        <v>635</v>
      </c>
      <c r="W120" s="40">
        <v>3208</v>
      </c>
      <c r="X120" s="20" t="s">
        <v>94</v>
      </c>
      <c r="Y120" s="40" t="s">
        <v>141</v>
      </c>
      <c r="Z120" s="40"/>
      <c r="AA120" s="34"/>
      <c r="AB120" s="40" t="s">
        <v>139</v>
      </c>
      <c r="AC120" s="91">
        <v>45689</v>
      </c>
      <c r="AD120" s="42">
        <v>45965</v>
      </c>
      <c r="AE120" s="42">
        <v>45764</v>
      </c>
      <c r="AF120" s="23">
        <f t="shared" si="1"/>
        <v>276</v>
      </c>
      <c r="AG120" s="110" t="s">
        <v>611</v>
      </c>
      <c r="AH120" s="40">
        <v>0</v>
      </c>
      <c r="AI120" s="40"/>
      <c r="AJ120" s="40"/>
      <c r="AK120" s="40">
        <v>5945</v>
      </c>
      <c r="AL120" s="44">
        <v>1038640.9600000001</v>
      </c>
      <c r="AM120" s="44">
        <f t="shared" si="4"/>
        <v>1044585.9600000001</v>
      </c>
      <c r="AN120" s="31" t="s">
        <v>132</v>
      </c>
    </row>
    <row r="121" spans="1:41" ht="30" customHeight="1">
      <c r="A121" s="16"/>
      <c r="B121" s="17">
        <v>120</v>
      </c>
      <c r="C121" s="108">
        <v>45985.662499999999</v>
      </c>
      <c r="D121" s="16" t="s">
        <v>636</v>
      </c>
      <c r="E121" s="16" t="s">
        <v>637</v>
      </c>
      <c r="F121" s="19" t="s">
        <v>638</v>
      </c>
      <c r="G121" s="19" t="s">
        <v>202</v>
      </c>
      <c r="H121" s="16" t="s">
        <v>639</v>
      </c>
      <c r="I121" s="111" t="s">
        <v>640</v>
      </c>
      <c r="J121" s="41" t="s">
        <v>45</v>
      </c>
      <c r="K121" s="34" t="s">
        <v>641</v>
      </c>
      <c r="L121" s="34" t="s">
        <v>544</v>
      </c>
      <c r="M121" s="34" t="s">
        <v>378</v>
      </c>
      <c r="N121" s="34" t="s">
        <v>642</v>
      </c>
      <c r="O121" s="34" t="s">
        <v>643</v>
      </c>
      <c r="P121" s="34" t="s">
        <v>46</v>
      </c>
      <c r="Q121" s="20" t="s">
        <v>47</v>
      </c>
      <c r="R121" s="20" t="s">
        <v>48</v>
      </c>
      <c r="S121" s="34" t="s">
        <v>644</v>
      </c>
      <c r="U121" s="34"/>
      <c r="V121" s="20" t="s">
        <v>49</v>
      </c>
      <c r="W121" s="34">
        <v>2220</v>
      </c>
      <c r="X121" s="20" t="s">
        <v>60</v>
      </c>
      <c r="Y121" s="20" t="s">
        <v>51</v>
      </c>
      <c r="Z121" s="34"/>
      <c r="AA121" s="34"/>
      <c r="AB121" s="20" t="s">
        <v>47</v>
      </c>
      <c r="AC121" s="109">
        <v>45658</v>
      </c>
      <c r="AD121" s="42">
        <v>45965</v>
      </c>
      <c r="AE121" s="42">
        <v>45958</v>
      </c>
      <c r="AF121" s="23">
        <f t="shared" si="1"/>
        <v>307</v>
      </c>
      <c r="AG121" s="110" t="s">
        <v>611</v>
      </c>
      <c r="AH121" s="34">
        <v>37360</v>
      </c>
      <c r="AI121" s="34"/>
      <c r="AJ121" s="34"/>
      <c r="AK121" s="34">
        <v>8945</v>
      </c>
      <c r="AL121" s="50">
        <v>815</v>
      </c>
      <c r="AM121" s="44">
        <f t="shared" si="4"/>
        <v>47120</v>
      </c>
      <c r="AN121" s="25" t="s">
        <v>55</v>
      </c>
    </row>
    <row r="122" spans="1:41" ht="30" customHeight="1">
      <c r="A122" s="16"/>
      <c r="B122" s="17">
        <v>121</v>
      </c>
      <c r="C122" s="108">
        <v>45985</v>
      </c>
      <c r="D122" s="16" t="s">
        <v>625</v>
      </c>
      <c r="E122" s="16" t="s">
        <v>645</v>
      </c>
      <c r="F122" s="19" t="s">
        <v>244</v>
      </c>
      <c r="G122" s="19" t="s">
        <v>71</v>
      </c>
      <c r="H122" s="16" t="s">
        <v>626</v>
      </c>
      <c r="I122" s="111" t="s">
        <v>646</v>
      </c>
      <c r="J122" s="41" t="s">
        <v>647</v>
      </c>
      <c r="K122" s="34" t="s">
        <v>599</v>
      </c>
      <c r="L122" s="34" t="s">
        <v>553</v>
      </c>
      <c r="M122" s="34" t="s">
        <v>378</v>
      </c>
      <c r="N122" s="34" t="s">
        <v>599</v>
      </c>
      <c r="O122" s="34" t="s">
        <v>599</v>
      </c>
      <c r="P122" s="34" t="s">
        <v>46</v>
      </c>
      <c r="Q122" s="34" t="s">
        <v>248</v>
      </c>
      <c r="R122" s="20" t="s">
        <v>48</v>
      </c>
      <c r="S122" s="34"/>
      <c r="U122" s="34"/>
      <c r="V122" s="20"/>
      <c r="W122" s="34">
        <v>234</v>
      </c>
      <c r="X122" s="20" t="s">
        <v>90</v>
      </c>
      <c r="Y122" s="20" t="s">
        <v>51</v>
      </c>
      <c r="Z122" s="34"/>
      <c r="AA122" s="34"/>
      <c r="AB122" s="55" t="s">
        <v>251</v>
      </c>
      <c r="AC122" s="109">
        <v>45931</v>
      </c>
      <c r="AD122" s="42">
        <v>45962</v>
      </c>
      <c r="AE122" s="42"/>
      <c r="AF122" s="23">
        <f t="shared" si="1"/>
        <v>31</v>
      </c>
      <c r="AG122" s="110" t="s">
        <v>101</v>
      </c>
      <c r="AH122" s="34">
        <v>80000</v>
      </c>
      <c r="AI122" s="34"/>
      <c r="AJ122" s="34"/>
      <c r="AK122" s="40">
        <v>9045</v>
      </c>
      <c r="AL122" s="44">
        <v>75140</v>
      </c>
      <c r="AM122" s="44">
        <f t="shared" si="4"/>
        <v>164185</v>
      </c>
      <c r="AN122" s="25" t="s">
        <v>55</v>
      </c>
    </row>
    <row r="123" spans="1:41" s="31" customFormat="1" ht="30" customHeight="1">
      <c r="A123" s="16"/>
      <c r="B123" s="17">
        <v>122</v>
      </c>
      <c r="C123" s="106">
        <v>45987.525000000001</v>
      </c>
      <c r="D123" s="16" t="s">
        <v>648</v>
      </c>
      <c r="E123" s="16" t="s">
        <v>649</v>
      </c>
      <c r="F123" s="16" t="s">
        <v>650</v>
      </c>
      <c r="G123" s="41" t="s">
        <v>651</v>
      </c>
      <c r="H123" s="16" t="s">
        <v>652</v>
      </c>
      <c r="I123" s="112" t="s">
        <v>653</v>
      </c>
      <c r="J123" s="19" t="s">
        <v>126</v>
      </c>
      <c r="K123" s="34" t="s">
        <v>654</v>
      </c>
      <c r="L123" s="40" t="s">
        <v>498</v>
      </c>
      <c r="M123" s="34" t="s">
        <v>378</v>
      </c>
      <c r="N123" s="34" t="s">
        <v>655</v>
      </c>
      <c r="O123" s="40" t="s">
        <v>525</v>
      </c>
      <c r="P123" s="40" t="s">
        <v>46</v>
      </c>
      <c r="Q123" s="34" t="s">
        <v>526</v>
      </c>
      <c r="R123" s="20" t="s">
        <v>48</v>
      </c>
      <c r="S123" s="40"/>
      <c r="T123" s="40"/>
      <c r="U123" s="40"/>
      <c r="V123" s="20" t="s">
        <v>454</v>
      </c>
      <c r="W123" s="40">
        <v>19284</v>
      </c>
      <c r="X123" s="20" t="s">
        <v>107</v>
      </c>
      <c r="Y123" s="20" t="s">
        <v>51</v>
      </c>
      <c r="Z123" s="40"/>
      <c r="AA123" s="34"/>
      <c r="AB123" s="20" t="s">
        <v>210</v>
      </c>
      <c r="AC123" s="91">
        <v>45627</v>
      </c>
      <c r="AD123" s="42">
        <v>45965</v>
      </c>
      <c r="AE123" s="42">
        <v>45888</v>
      </c>
      <c r="AF123" s="23">
        <f t="shared" si="1"/>
        <v>338</v>
      </c>
      <c r="AG123" s="110" t="s">
        <v>611</v>
      </c>
      <c r="AH123" s="40">
        <f>1364*20*2</f>
        <v>54560</v>
      </c>
      <c r="AI123" s="20">
        <f>8*725</f>
        <v>5800</v>
      </c>
      <c r="AJ123" s="20">
        <f>4.5*725</f>
        <v>3262.5</v>
      </c>
      <c r="AK123" s="40">
        <v>9062</v>
      </c>
      <c r="AL123" s="44">
        <v>108782</v>
      </c>
      <c r="AM123" s="44">
        <f t="shared" si="4"/>
        <v>172404</v>
      </c>
      <c r="AN123" s="31" t="s">
        <v>132</v>
      </c>
    </row>
    <row r="124" spans="1:41" s="31" customFormat="1" ht="30" customHeight="1">
      <c r="A124" s="16"/>
      <c r="B124" s="17">
        <v>123</v>
      </c>
      <c r="C124" s="86">
        <v>45989</v>
      </c>
      <c r="D124" s="16" t="s">
        <v>656</v>
      </c>
      <c r="E124" s="16" t="s">
        <v>388</v>
      </c>
      <c r="F124" s="16" t="s">
        <v>388</v>
      </c>
      <c r="G124" s="41" t="s">
        <v>71</v>
      </c>
      <c r="H124" s="16" t="s">
        <v>657</v>
      </c>
      <c r="I124" s="41" t="s">
        <v>658</v>
      </c>
      <c r="J124" s="19" t="s">
        <v>126</v>
      </c>
      <c r="K124" s="34" t="s">
        <v>659</v>
      </c>
      <c r="L124" s="40" t="s">
        <v>523</v>
      </c>
      <c r="M124" s="34" t="s">
        <v>378</v>
      </c>
      <c r="N124" s="34" t="s">
        <v>599</v>
      </c>
      <c r="O124" s="40" t="s">
        <v>599</v>
      </c>
      <c r="P124" s="40" t="s">
        <v>46</v>
      </c>
      <c r="Q124" s="34" t="s">
        <v>248</v>
      </c>
      <c r="R124" s="20" t="s">
        <v>48</v>
      </c>
      <c r="S124" s="40"/>
      <c r="T124" s="40"/>
      <c r="U124" s="40"/>
      <c r="V124" s="20" t="s">
        <v>249</v>
      </c>
      <c r="W124" s="40">
        <v>2403</v>
      </c>
      <c r="X124" s="20" t="s">
        <v>60</v>
      </c>
      <c r="Y124" s="20" t="s">
        <v>51</v>
      </c>
      <c r="Z124" s="40"/>
      <c r="AA124" s="34"/>
      <c r="AB124" s="55" t="s">
        <v>251</v>
      </c>
      <c r="AC124" s="91">
        <v>45809</v>
      </c>
      <c r="AD124" s="42">
        <v>45965</v>
      </c>
      <c r="AE124" s="42">
        <v>45945</v>
      </c>
      <c r="AF124" s="23">
        <f t="shared" si="1"/>
        <v>156</v>
      </c>
      <c r="AG124" s="24" t="s">
        <v>54</v>
      </c>
      <c r="AH124" s="40">
        <v>80000</v>
      </c>
      <c r="AI124" s="40"/>
      <c r="AJ124" s="40"/>
      <c r="AK124" s="40">
        <v>9045</v>
      </c>
      <c r="AL124" s="44">
        <v>75140</v>
      </c>
      <c r="AM124" s="44">
        <f t="shared" si="4"/>
        <v>164185</v>
      </c>
      <c r="AN124" s="25" t="s">
        <v>55</v>
      </c>
    </row>
    <row r="125" spans="1:41" s="31" customFormat="1" ht="30" customHeight="1">
      <c r="A125" s="16"/>
      <c r="B125" s="17">
        <v>124</v>
      </c>
      <c r="C125" s="86">
        <v>45993</v>
      </c>
      <c r="D125" s="16" t="s">
        <v>660</v>
      </c>
      <c r="E125" s="16" t="s">
        <v>661</v>
      </c>
      <c r="F125" s="16" t="s">
        <v>161</v>
      </c>
      <c r="G125" s="41" t="s">
        <v>71</v>
      </c>
      <c r="H125" s="16" t="s">
        <v>662</v>
      </c>
      <c r="I125" s="41" t="s">
        <v>663</v>
      </c>
      <c r="J125" s="41" t="s">
        <v>45</v>
      </c>
      <c r="K125" s="34" t="s">
        <v>664</v>
      </c>
      <c r="L125" s="40" t="s">
        <v>553</v>
      </c>
      <c r="M125" s="34" t="s">
        <v>74</v>
      </c>
      <c r="N125" s="34" t="s">
        <v>586</v>
      </c>
      <c r="O125" s="34" t="s">
        <v>586</v>
      </c>
      <c r="P125" s="40" t="s">
        <v>46</v>
      </c>
      <c r="Q125" s="34"/>
      <c r="R125" s="20" t="s">
        <v>48</v>
      </c>
      <c r="S125" s="40"/>
      <c r="T125" s="40"/>
      <c r="U125" s="40"/>
      <c r="V125" s="20" t="s">
        <v>665</v>
      </c>
      <c r="W125" s="40">
        <v>5764</v>
      </c>
      <c r="X125" s="20" t="s">
        <v>64</v>
      </c>
      <c r="Y125" s="20" t="s">
        <v>51</v>
      </c>
      <c r="Z125" s="40"/>
      <c r="AA125" s="34"/>
      <c r="AB125" s="20" t="s">
        <v>80</v>
      </c>
      <c r="AC125" s="91">
        <v>45658</v>
      </c>
      <c r="AD125" s="42">
        <v>45965</v>
      </c>
      <c r="AE125" s="42">
        <v>45811</v>
      </c>
      <c r="AF125" s="23">
        <f t="shared" si="1"/>
        <v>307</v>
      </c>
      <c r="AG125" s="110" t="s">
        <v>611</v>
      </c>
      <c r="AH125" s="40">
        <v>0</v>
      </c>
      <c r="AI125" s="40"/>
      <c r="AJ125" s="40"/>
      <c r="AK125" s="40">
        <v>5945</v>
      </c>
      <c r="AL125" s="44">
        <v>1038640.9600000001</v>
      </c>
      <c r="AM125" s="44">
        <f t="shared" si="4"/>
        <v>1044585.9600000001</v>
      </c>
      <c r="AN125" s="31" t="s">
        <v>132</v>
      </c>
    </row>
    <row r="126" spans="1:41" s="31" customFormat="1" ht="30" customHeight="1">
      <c r="A126" s="48"/>
      <c r="B126" s="17">
        <v>125</v>
      </c>
      <c r="C126" s="86">
        <v>45993</v>
      </c>
      <c r="D126" s="16" t="s">
        <v>666</v>
      </c>
      <c r="E126" s="16" t="s">
        <v>667</v>
      </c>
      <c r="F126" s="16" t="s">
        <v>388</v>
      </c>
      <c r="G126" s="41" t="s">
        <v>71</v>
      </c>
      <c r="H126" s="16" t="s">
        <v>668</v>
      </c>
      <c r="I126" s="41" t="s">
        <v>669</v>
      </c>
      <c r="J126" s="19" t="s">
        <v>126</v>
      </c>
      <c r="K126" s="34" t="s">
        <v>670</v>
      </c>
      <c r="L126" s="40" t="s">
        <v>572</v>
      </c>
      <c r="M126" s="34" t="s">
        <v>74</v>
      </c>
      <c r="N126" s="34" t="s">
        <v>586</v>
      </c>
      <c r="O126" s="34" t="s">
        <v>586</v>
      </c>
      <c r="P126" s="40" t="s">
        <v>46</v>
      </c>
      <c r="Q126" s="34" t="s">
        <v>153</v>
      </c>
      <c r="R126" s="20" t="s">
        <v>48</v>
      </c>
      <c r="S126" s="40"/>
      <c r="T126" s="40"/>
      <c r="U126" s="40"/>
      <c r="V126" s="34" t="s">
        <v>671</v>
      </c>
      <c r="W126" s="40">
        <v>42</v>
      </c>
      <c r="X126" s="20" t="s">
        <v>90</v>
      </c>
      <c r="Y126" s="40" t="s">
        <v>141</v>
      </c>
      <c r="Z126" s="40"/>
      <c r="AA126" s="34"/>
      <c r="AB126" s="40" t="s">
        <v>185</v>
      </c>
      <c r="AC126" s="91">
        <v>45627</v>
      </c>
      <c r="AD126" s="42">
        <v>45965</v>
      </c>
      <c r="AE126" s="42">
        <v>45990</v>
      </c>
      <c r="AF126" s="23">
        <f t="shared" si="1"/>
        <v>338</v>
      </c>
      <c r="AG126" s="110" t="s">
        <v>611</v>
      </c>
      <c r="AH126" s="40">
        <v>0</v>
      </c>
      <c r="AI126" s="40"/>
      <c r="AJ126" s="40"/>
      <c r="AK126" s="40">
        <v>5945</v>
      </c>
      <c r="AL126" s="44">
        <v>1038640.9600000001</v>
      </c>
      <c r="AM126" s="44">
        <f t="shared" si="4"/>
        <v>1044585.9600000001</v>
      </c>
      <c r="AN126" s="31" t="s">
        <v>132</v>
      </c>
    </row>
    <row r="127" spans="1:41" s="31" customFormat="1" ht="30" customHeight="1">
      <c r="A127" s="16"/>
      <c r="B127" s="17">
        <v>126</v>
      </c>
      <c r="C127" s="113">
        <v>45996</v>
      </c>
      <c r="D127" s="16" t="s">
        <v>672</v>
      </c>
      <c r="E127" s="16" t="s">
        <v>673</v>
      </c>
      <c r="F127" s="19" t="s">
        <v>92</v>
      </c>
      <c r="G127" s="41" t="s">
        <v>71</v>
      </c>
      <c r="H127" s="16"/>
      <c r="I127" s="41" t="s">
        <v>674</v>
      </c>
      <c r="J127" s="41" t="s">
        <v>45</v>
      </c>
      <c r="K127" s="34" t="s">
        <v>675</v>
      </c>
      <c r="L127" s="40"/>
      <c r="M127" s="34" t="s">
        <v>74</v>
      </c>
      <c r="N127" s="20" t="s">
        <v>83</v>
      </c>
      <c r="O127" s="40" t="s">
        <v>676</v>
      </c>
      <c r="P127" s="40" t="s">
        <v>46</v>
      </c>
      <c r="Q127" s="34" t="s">
        <v>82</v>
      </c>
      <c r="R127" s="20" t="s">
        <v>48</v>
      </c>
      <c r="S127" s="40"/>
      <c r="T127" s="40"/>
      <c r="U127" s="40"/>
      <c r="V127" s="20" t="s">
        <v>83</v>
      </c>
      <c r="W127" s="40">
        <v>855</v>
      </c>
      <c r="X127" s="20" t="s">
        <v>90</v>
      </c>
      <c r="Y127" s="20" t="s">
        <v>51</v>
      </c>
      <c r="Z127" s="40"/>
      <c r="AA127" s="34"/>
      <c r="AB127" s="20" t="s">
        <v>80</v>
      </c>
      <c r="AC127" s="91">
        <v>45627</v>
      </c>
      <c r="AD127" s="91">
        <v>45992</v>
      </c>
      <c r="AE127" s="42">
        <v>45991</v>
      </c>
      <c r="AF127" s="23">
        <f t="shared" si="1"/>
        <v>365</v>
      </c>
      <c r="AG127" s="110" t="s">
        <v>611</v>
      </c>
      <c r="AH127" s="40">
        <v>80000</v>
      </c>
      <c r="AI127" s="40"/>
      <c r="AJ127" s="40"/>
      <c r="AK127" s="40">
        <f>5945+3000</f>
        <v>8945</v>
      </c>
      <c r="AL127" s="40">
        <v>0</v>
      </c>
      <c r="AM127" s="44">
        <f t="shared" si="4"/>
        <v>88945</v>
      </c>
      <c r="AN127" s="31" t="s">
        <v>132</v>
      </c>
      <c r="AO127" s="31" t="s">
        <v>677</v>
      </c>
    </row>
    <row r="128" spans="1:41" s="31" customFormat="1" ht="31" customHeight="1">
      <c r="A128" s="16"/>
      <c r="B128" s="17">
        <v>127</v>
      </c>
      <c r="C128" s="114">
        <v>45999</v>
      </c>
      <c r="D128" s="115" t="s">
        <v>678</v>
      </c>
      <c r="E128" s="115" t="s">
        <v>42</v>
      </c>
      <c r="F128" s="19" t="s">
        <v>42</v>
      </c>
      <c r="G128" s="116" t="s">
        <v>202</v>
      </c>
      <c r="H128" s="16"/>
      <c r="I128" s="116" t="s">
        <v>542</v>
      </c>
      <c r="J128" s="41" t="s">
        <v>45</v>
      </c>
      <c r="K128" s="43" t="s">
        <v>679</v>
      </c>
      <c r="L128" s="71"/>
      <c r="M128" s="43" t="s">
        <v>378</v>
      </c>
      <c r="N128" s="43" t="s">
        <v>599</v>
      </c>
      <c r="O128" s="71" t="s">
        <v>599</v>
      </c>
      <c r="P128" s="71" t="s">
        <v>46</v>
      </c>
      <c r="Q128" s="43" t="s">
        <v>248</v>
      </c>
      <c r="R128" s="20" t="s">
        <v>48</v>
      </c>
      <c r="S128" s="71"/>
      <c r="T128" s="71"/>
      <c r="U128" s="71"/>
      <c r="V128" s="43" t="s">
        <v>249</v>
      </c>
      <c r="W128" s="71">
        <v>9136</v>
      </c>
      <c r="X128" s="20" t="s">
        <v>288</v>
      </c>
      <c r="Y128" s="20" t="s">
        <v>51</v>
      </c>
      <c r="Z128" s="71"/>
      <c r="AA128" s="43"/>
      <c r="AB128" s="55" t="s">
        <v>251</v>
      </c>
      <c r="AC128" s="117">
        <v>45717</v>
      </c>
      <c r="AD128" s="117">
        <v>45992</v>
      </c>
      <c r="AE128" s="42">
        <v>45775</v>
      </c>
      <c r="AF128" s="23">
        <f t="shared" si="1"/>
        <v>275</v>
      </c>
      <c r="AG128" s="110" t="s">
        <v>611</v>
      </c>
      <c r="AH128" s="71">
        <f>230*20*2</f>
        <v>9200</v>
      </c>
      <c r="AI128" s="71"/>
      <c r="AJ128" s="71"/>
      <c r="AK128" s="40">
        <v>9045</v>
      </c>
      <c r="AL128" s="44">
        <v>75140</v>
      </c>
      <c r="AM128" s="44">
        <f t="shared" si="4"/>
        <v>93385</v>
      </c>
      <c r="AN128" s="25" t="s">
        <v>55</v>
      </c>
    </row>
    <row r="129" spans="1:40" ht="42" customHeight="1">
      <c r="A129" s="167" t="s">
        <v>680</v>
      </c>
      <c r="B129" s="17">
        <v>128</v>
      </c>
      <c r="C129" s="118">
        <v>45999</v>
      </c>
      <c r="D129" s="16" t="s">
        <v>681</v>
      </c>
      <c r="E129" s="16" t="s">
        <v>682</v>
      </c>
      <c r="F129" s="19" t="s">
        <v>58</v>
      </c>
      <c r="G129" s="16" t="s">
        <v>202</v>
      </c>
      <c r="H129" s="16" t="s">
        <v>683</v>
      </c>
      <c r="I129" s="16" t="s">
        <v>684</v>
      </c>
      <c r="J129" s="19" t="s">
        <v>126</v>
      </c>
      <c r="K129" s="34" t="s">
        <v>685</v>
      </c>
      <c r="L129" s="34" t="s">
        <v>553</v>
      </c>
      <c r="M129" s="34" t="s">
        <v>74</v>
      </c>
      <c r="N129" s="34" t="s">
        <v>686</v>
      </c>
      <c r="O129" s="34" t="s">
        <v>586</v>
      </c>
      <c r="P129" s="34" t="s">
        <v>46</v>
      </c>
      <c r="Q129" s="34" t="s">
        <v>153</v>
      </c>
      <c r="R129" s="20" t="s">
        <v>48</v>
      </c>
      <c r="S129" s="34"/>
      <c r="U129" s="34"/>
      <c r="V129" s="34"/>
      <c r="W129" s="34">
        <v>11734</v>
      </c>
      <c r="X129" s="20" t="s">
        <v>67</v>
      </c>
      <c r="Y129" s="34" t="s">
        <v>141</v>
      </c>
      <c r="Z129" s="34"/>
      <c r="AA129" s="34"/>
      <c r="AB129" s="40" t="s">
        <v>139</v>
      </c>
      <c r="AC129" s="109">
        <v>45717</v>
      </c>
      <c r="AD129" s="109">
        <v>45992</v>
      </c>
      <c r="AE129" s="42">
        <v>45754</v>
      </c>
      <c r="AF129" s="23">
        <f t="shared" si="1"/>
        <v>275</v>
      </c>
      <c r="AG129" s="110" t="s">
        <v>611</v>
      </c>
      <c r="AH129" s="40">
        <v>0</v>
      </c>
      <c r="AI129" s="40"/>
      <c r="AJ129" s="40"/>
      <c r="AK129" s="40">
        <v>5945</v>
      </c>
      <c r="AL129" s="44">
        <v>1038640.9600000001</v>
      </c>
      <c r="AM129" s="44">
        <f t="shared" si="4"/>
        <v>1044585.9600000001</v>
      </c>
      <c r="AN129" s="31" t="s">
        <v>132</v>
      </c>
    </row>
    <row r="130" spans="1:40" ht="21" customHeight="1">
      <c r="A130" s="168"/>
      <c r="B130" s="17">
        <v>129</v>
      </c>
      <c r="C130" s="89">
        <v>45997</v>
      </c>
      <c r="D130" s="16" t="s">
        <v>687</v>
      </c>
      <c r="E130" s="16" t="s">
        <v>688</v>
      </c>
      <c r="F130" s="19" t="s">
        <v>65</v>
      </c>
      <c r="G130" s="16" t="s">
        <v>560</v>
      </c>
      <c r="H130" s="16"/>
      <c r="I130" s="90" t="s">
        <v>689</v>
      </c>
      <c r="J130" s="41" t="s">
        <v>45</v>
      </c>
      <c r="K130" s="34" t="s">
        <v>690</v>
      </c>
      <c r="L130" s="34" t="s">
        <v>498</v>
      </c>
      <c r="M130" s="34" t="s">
        <v>378</v>
      </c>
      <c r="N130" s="34" t="s">
        <v>691</v>
      </c>
      <c r="O130" s="34" t="s">
        <v>207</v>
      </c>
      <c r="P130" s="34" t="s">
        <v>46</v>
      </c>
      <c r="Q130" s="34" t="s">
        <v>691</v>
      </c>
      <c r="R130" s="20" t="s">
        <v>48</v>
      </c>
      <c r="S130" s="34"/>
      <c r="U130" s="34"/>
      <c r="V130" s="20" t="s">
        <v>454</v>
      </c>
      <c r="W130" s="34">
        <v>7976</v>
      </c>
      <c r="X130" s="20" t="s">
        <v>87</v>
      </c>
      <c r="Y130" s="20" t="s">
        <v>51</v>
      </c>
      <c r="Z130" s="34"/>
      <c r="AA130" s="34"/>
      <c r="AB130" s="20" t="s">
        <v>210</v>
      </c>
      <c r="AC130" s="109">
        <v>45689</v>
      </c>
      <c r="AD130" s="109">
        <v>45992</v>
      </c>
      <c r="AE130" s="42">
        <v>45853</v>
      </c>
      <c r="AF130" s="23">
        <f t="shared" si="1"/>
        <v>303</v>
      </c>
      <c r="AG130" s="110" t="s">
        <v>611</v>
      </c>
      <c r="AH130" s="34">
        <f>418*20*2</f>
        <v>16720</v>
      </c>
      <c r="AI130" s="20">
        <f>8*725</f>
        <v>5800</v>
      </c>
      <c r="AJ130" s="20">
        <f>4.5*725</f>
        <v>3262.5</v>
      </c>
      <c r="AK130" s="40">
        <v>9062</v>
      </c>
      <c r="AL130" s="44">
        <v>108782</v>
      </c>
      <c r="AM130" s="44">
        <f>AH130+AK130+AL130</f>
        <v>134564</v>
      </c>
      <c r="AN130" s="31" t="s">
        <v>132</v>
      </c>
    </row>
    <row r="131" spans="1:40" ht="42" customHeight="1">
      <c r="A131" s="168"/>
      <c r="B131" s="17">
        <v>130</v>
      </c>
      <c r="C131" s="89">
        <v>45993</v>
      </c>
      <c r="D131" s="16" t="s">
        <v>666</v>
      </c>
      <c r="E131" s="16" t="s">
        <v>667</v>
      </c>
      <c r="F131" s="16" t="s">
        <v>388</v>
      </c>
      <c r="G131" s="16" t="s">
        <v>71</v>
      </c>
      <c r="H131" s="16" t="s">
        <v>668</v>
      </c>
      <c r="I131" s="16" t="s">
        <v>669</v>
      </c>
      <c r="J131" s="19" t="s">
        <v>126</v>
      </c>
      <c r="K131" s="34" t="s">
        <v>692</v>
      </c>
      <c r="L131" s="34" t="s">
        <v>572</v>
      </c>
      <c r="M131" s="34" t="s">
        <v>74</v>
      </c>
      <c r="N131" s="34" t="s">
        <v>693</v>
      </c>
      <c r="O131" s="34" t="s">
        <v>694</v>
      </c>
      <c r="P131" s="34" t="s">
        <v>46</v>
      </c>
      <c r="Q131" s="34" t="s">
        <v>694</v>
      </c>
      <c r="R131" s="20" t="s">
        <v>48</v>
      </c>
      <c r="S131" s="34"/>
      <c r="U131" s="34"/>
      <c r="V131" s="20" t="s">
        <v>502</v>
      </c>
      <c r="W131" s="34">
        <v>42</v>
      </c>
      <c r="X131" s="20" t="s">
        <v>90</v>
      </c>
      <c r="Y131" s="20" t="s">
        <v>51</v>
      </c>
      <c r="Z131" s="34"/>
      <c r="AA131" s="34"/>
      <c r="AB131" s="20" t="s">
        <v>210</v>
      </c>
      <c r="AC131" s="109">
        <v>45931</v>
      </c>
      <c r="AD131" s="109">
        <v>45992</v>
      </c>
      <c r="AE131" s="42">
        <v>45990</v>
      </c>
      <c r="AF131" s="23">
        <f t="shared" si="1"/>
        <v>61</v>
      </c>
      <c r="AG131" s="24" t="s">
        <v>101</v>
      </c>
      <c r="AH131" s="40">
        <v>80000</v>
      </c>
      <c r="AI131" s="40"/>
      <c r="AJ131" s="40"/>
      <c r="AK131" s="40">
        <v>9045</v>
      </c>
      <c r="AL131" s="44">
        <v>108782</v>
      </c>
      <c r="AM131" s="44">
        <f t="shared" si="4"/>
        <v>197827</v>
      </c>
      <c r="AN131" s="31" t="s">
        <v>132</v>
      </c>
    </row>
    <row r="132" spans="1:40" ht="21" customHeight="1">
      <c r="A132" s="168"/>
      <c r="B132" s="17">
        <v>131</v>
      </c>
      <c r="C132" s="89">
        <v>46007</v>
      </c>
      <c r="D132" s="16" t="s">
        <v>695</v>
      </c>
      <c r="E132" s="16" t="s">
        <v>696</v>
      </c>
      <c r="F132" s="19" t="s">
        <v>98</v>
      </c>
      <c r="G132" s="16" t="s">
        <v>202</v>
      </c>
      <c r="H132" s="16" t="s">
        <v>697</v>
      </c>
      <c r="I132" s="16" t="s">
        <v>698</v>
      </c>
      <c r="J132" s="41" t="s">
        <v>45</v>
      </c>
      <c r="K132" s="34" t="s">
        <v>699</v>
      </c>
      <c r="L132" s="34" t="s">
        <v>544</v>
      </c>
      <c r="M132" s="34" t="s">
        <v>378</v>
      </c>
      <c r="N132" s="34" t="s">
        <v>700</v>
      </c>
      <c r="O132" s="34" t="s">
        <v>207</v>
      </c>
      <c r="P132" s="34" t="s">
        <v>46</v>
      </c>
      <c r="Q132" s="34" t="s">
        <v>701</v>
      </c>
      <c r="R132" s="20" t="s">
        <v>48</v>
      </c>
      <c r="S132" s="34"/>
      <c r="U132" s="34"/>
      <c r="V132" s="34" t="s">
        <v>208</v>
      </c>
      <c r="W132" s="34">
        <v>32636</v>
      </c>
      <c r="X132" s="20" t="s">
        <v>702</v>
      </c>
      <c r="Y132" s="20" t="s">
        <v>51</v>
      </c>
      <c r="Z132" s="34"/>
      <c r="AA132" s="34"/>
      <c r="AB132" s="20" t="s">
        <v>210</v>
      </c>
      <c r="AC132" s="109">
        <v>45717</v>
      </c>
      <c r="AD132" s="109">
        <v>45992</v>
      </c>
      <c r="AE132" s="42">
        <v>45775</v>
      </c>
      <c r="AF132" s="23">
        <f t="shared" si="1"/>
        <v>275</v>
      </c>
      <c r="AG132" s="110" t="s">
        <v>611</v>
      </c>
      <c r="AH132" s="34">
        <f>509*20*2</f>
        <v>20360</v>
      </c>
      <c r="AI132" s="34"/>
      <c r="AJ132" s="34"/>
      <c r="AK132" s="40">
        <v>9045</v>
      </c>
      <c r="AL132" s="44">
        <v>108782</v>
      </c>
      <c r="AM132" s="44">
        <f t="shared" si="4"/>
        <v>138187</v>
      </c>
      <c r="AN132" s="31" t="s">
        <v>132</v>
      </c>
    </row>
    <row r="133" spans="1:40" ht="21" customHeight="1">
      <c r="A133" s="168"/>
      <c r="B133" s="17">
        <v>132</v>
      </c>
      <c r="C133" s="89">
        <v>46008</v>
      </c>
      <c r="D133" s="16" t="s">
        <v>703</v>
      </c>
      <c r="E133" s="16" t="s">
        <v>704</v>
      </c>
      <c r="F133" s="19" t="s">
        <v>98</v>
      </c>
      <c r="G133" s="16" t="s">
        <v>202</v>
      </c>
      <c r="H133" s="16" t="s">
        <v>705</v>
      </c>
      <c r="I133" s="16" t="s">
        <v>706</v>
      </c>
      <c r="J133" s="19" t="s">
        <v>126</v>
      </c>
      <c r="K133" s="34" t="s">
        <v>707</v>
      </c>
      <c r="L133" s="34" t="s">
        <v>498</v>
      </c>
      <c r="M133" s="34" t="s">
        <v>378</v>
      </c>
      <c r="N133" s="34" t="s">
        <v>700</v>
      </c>
      <c r="O133" s="34" t="s">
        <v>207</v>
      </c>
      <c r="P133" s="34" t="s">
        <v>46</v>
      </c>
      <c r="Q133" s="34" t="s">
        <v>701</v>
      </c>
      <c r="R133" s="20" t="s">
        <v>48</v>
      </c>
      <c r="S133" s="34"/>
      <c r="U133" s="34"/>
      <c r="V133" s="34" t="s">
        <v>208</v>
      </c>
      <c r="W133" s="34">
        <v>20217</v>
      </c>
      <c r="X133" s="20" t="s">
        <v>708</v>
      </c>
      <c r="Y133" s="20" t="s">
        <v>51</v>
      </c>
      <c r="Z133" s="34"/>
      <c r="AA133" s="34"/>
      <c r="AB133" s="20" t="s">
        <v>210</v>
      </c>
      <c r="AC133" s="109">
        <v>45689</v>
      </c>
      <c r="AD133" s="109">
        <v>45992</v>
      </c>
      <c r="AE133" s="42">
        <v>45745</v>
      </c>
      <c r="AF133" s="23">
        <f t="shared" ref="AF133:AF200" si="5">AD133-AC133</f>
        <v>303</v>
      </c>
      <c r="AG133" s="110" t="s">
        <v>611</v>
      </c>
      <c r="AH133" s="34">
        <f>470*2*20</f>
        <v>18800</v>
      </c>
      <c r="AI133" s="34"/>
      <c r="AJ133" s="34"/>
      <c r="AK133" s="40">
        <v>9045</v>
      </c>
      <c r="AL133" s="44">
        <v>108782</v>
      </c>
      <c r="AM133" s="44">
        <f t="shared" si="4"/>
        <v>136627</v>
      </c>
      <c r="AN133" s="31" t="s">
        <v>132</v>
      </c>
    </row>
    <row r="134" spans="1:40" s="31" customFormat="1" ht="30" customHeight="1">
      <c r="A134" s="169"/>
      <c r="B134" s="17">
        <v>133</v>
      </c>
      <c r="C134" s="120">
        <v>46004</v>
      </c>
      <c r="D134" s="115" t="s">
        <v>709</v>
      </c>
      <c r="E134" s="115" t="s">
        <v>710</v>
      </c>
      <c r="F134" s="19" t="s">
        <v>92</v>
      </c>
      <c r="G134" s="116" t="s">
        <v>71</v>
      </c>
      <c r="H134" s="16" t="s">
        <v>53</v>
      </c>
      <c r="I134" s="116" t="s">
        <v>711</v>
      </c>
      <c r="J134" s="19" t="s">
        <v>126</v>
      </c>
      <c r="K134" s="43" t="s">
        <v>712</v>
      </c>
      <c r="L134" s="71" t="s">
        <v>507</v>
      </c>
      <c r="M134" s="43" t="s">
        <v>74</v>
      </c>
      <c r="N134" s="71" t="s">
        <v>713</v>
      </c>
      <c r="O134" s="71"/>
      <c r="P134" s="71" t="s">
        <v>46</v>
      </c>
      <c r="Q134" s="43" t="s">
        <v>185</v>
      </c>
      <c r="R134" s="20" t="s">
        <v>48</v>
      </c>
      <c r="S134" s="71"/>
      <c r="T134" s="71"/>
      <c r="U134" s="71"/>
      <c r="V134" s="34" t="s">
        <v>184</v>
      </c>
      <c r="W134" s="71">
        <v>2172</v>
      </c>
      <c r="X134" s="20" t="s">
        <v>60</v>
      </c>
      <c r="Y134" s="40" t="s">
        <v>141</v>
      </c>
      <c r="Z134" s="71"/>
      <c r="AA134" s="71"/>
      <c r="AB134" s="71" t="s">
        <v>185</v>
      </c>
      <c r="AC134" s="117">
        <v>45901</v>
      </c>
      <c r="AD134" s="121">
        <v>45992</v>
      </c>
      <c r="AE134" s="42">
        <v>45923</v>
      </c>
      <c r="AF134" s="23">
        <f t="shared" si="5"/>
        <v>91</v>
      </c>
      <c r="AG134" s="24" t="s">
        <v>54</v>
      </c>
      <c r="AH134" s="40">
        <v>0</v>
      </c>
      <c r="AI134" s="40"/>
      <c r="AJ134" s="40"/>
      <c r="AK134" s="40">
        <v>5945</v>
      </c>
      <c r="AL134" s="44">
        <v>1038640.9600000001</v>
      </c>
      <c r="AM134" s="44">
        <f t="shared" si="4"/>
        <v>1044585.9600000001</v>
      </c>
      <c r="AN134" s="31" t="s">
        <v>132</v>
      </c>
    </row>
    <row r="135" spans="1:40" ht="30" customHeight="1">
      <c r="A135" s="162" t="s">
        <v>714</v>
      </c>
      <c r="B135" s="17">
        <v>134</v>
      </c>
      <c r="C135" s="86">
        <v>46011.759722222225</v>
      </c>
      <c r="D135" s="16" t="s">
        <v>715</v>
      </c>
      <c r="E135" s="16" t="s">
        <v>696</v>
      </c>
      <c r="F135" s="19" t="s">
        <v>98</v>
      </c>
      <c r="G135" s="16" t="s">
        <v>202</v>
      </c>
      <c r="H135" s="16" t="s">
        <v>716</v>
      </c>
      <c r="I135" s="90" t="s">
        <v>717</v>
      </c>
      <c r="J135" s="41" t="s">
        <v>45</v>
      </c>
      <c r="K135" s="34" t="s">
        <v>718</v>
      </c>
      <c r="L135" s="34" t="s">
        <v>531</v>
      </c>
      <c r="M135" s="34" t="s">
        <v>378</v>
      </c>
      <c r="N135" s="34" t="s">
        <v>691</v>
      </c>
      <c r="O135" s="34" t="s">
        <v>691</v>
      </c>
      <c r="P135" s="34" t="s">
        <v>46</v>
      </c>
      <c r="Q135" s="34" t="s">
        <v>691</v>
      </c>
      <c r="R135" s="34" t="s">
        <v>48</v>
      </c>
      <c r="S135" s="34"/>
      <c r="U135" s="34"/>
      <c r="V135" s="20" t="s">
        <v>454</v>
      </c>
      <c r="W135" s="34">
        <v>50</v>
      </c>
      <c r="X135" s="34" t="s">
        <v>90</v>
      </c>
      <c r="Y135" s="20" t="s">
        <v>51</v>
      </c>
      <c r="Z135" s="34"/>
      <c r="AA135" s="34"/>
      <c r="AB135" s="20" t="s">
        <v>719</v>
      </c>
      <c r="AC135" s="109">
        <v>45931</v>
      </c>
      <c r="AD135" s="121">
        <v>46011</v>
      </c>
      <c r="AE135" s="42">
        <v>46001</v>
      </c>
      <c r="AF135" s="23">
        <f t="shared" si="5"/>
        <v>80</v>
      </c>
      <c r="AG135" s="24" t="s">
        <v>101</v>
      </c>
      <c r="AH135" s="34">
        <f>509*20*2</f>
        <v>20360</v>
      </c>
      <c r="AI135" s="20">
        <f>8*725</f>
        <v>5800</v>
      </c>
      <c r="AJ135" s="20">
        <f>4.5*725</f>
        <v>3262.5</v>
      </c>
      <c r="AK135" s="40">
        <v>9062</v>
      </c>
      <c r="AL135" s="44">
        <v>108782</v>
      </c>
      <c r="AM135" s="44">
        <f t="shared" si="4"/>
        <v>138204</v>
      </c>
      <c r="AN135" s="31" t="s">
        <v>132</v>
      </c>
    </row>
    <row r="136" spans="1:40" ht="30" customHeight="1">
      <c r="A136" s="162"/>
      <c r="B136" s="17">
        <v>135</v>
      </c>
      <c r="C136" s="86">
        <v>46010.631249999999</v>
      </c>
      <c r="D136" s="16" t="s">
        <v>720</v>
      </c>
      <c r="E136" s="16" t="s">
        <v>148</v>
      </c>
      <c r="F136" s="16" t="s">
        <v>148</v>
      </c>
      <c r="G136" s="16" t="s">
        <v>71</v>
      </c>
      <c r="H136" s="16" t="s">
        <v>721</v>
      </c>
      <c r="I136" s="16" t="s">
        <v>722</v>
      </c>
      <c r="J136" s="16" t="s">
        <v>126</v>
      </c>
      <c r="K136" s="34" t="s">
        <v>723</v>
      </c>
      <c r="L136" s="34" t="s">
        <v>544</v>
      </c>
      <c r="M136" s="34" t="s">
        <v>378</v>
      </c>
      <c r="N136" s="34" t="s">
        <v>724</v>
      </c>
      <c r="O136" s="34" t="s">
        <v>599</v>
      </c>
      <c r="P136" s="34" t="s">
        <v>46</v>
      </c>
      <c r="Q136" s="34" t="s">
        <v>248</v>
      </c>
      <c r="R136" s="34" t="s">
        <v>48</v>
      </c>
      <c r="S136" s="34"/>
      <c r="U136" s="34"/>
      <c r="V136" s="34" t="s">
        <v>725</v>
      </c>
      <c r="W136" s="34">
        <v>113</v>
      </c>
      <c r="X136" s="34" t="s">
        <v>90</v>
      </c>
      <c r="Y136" s="20" t="s">
        <v>51</v>
      </c>
      <c r="Z136" s="34"/>
      <c r="AA136" s="34"/>
      <c r="AB136" s="55" t="s">
        <v>251</v>
      </c>
      <c r="AC136" s="109">
        <v>45901</v>
      </c>
      <c r="AD136" s="121">
        <v>46010</v>
      </c>
      <c r="AE136" s="42">
        <v>46000</v>
      </c>
      <c r="AF136" s="23">
        <f t="shared" si="5"/>
        <v>109</v>
      </c>
      <c r="AG136" s="24" t="s">
        <v>54</v>
      </c>
      <c r="AH136" s="40">
        <v>80000</v>
      </c>
      <c r="AI136" s="40"/>
      <c r="AJ136" s="40"/>
      <c r="AK136" s="40">
        <v>9045</v>
      </c>
      <c r="AL136" s="44">
        <v>75140</v>
      </c>
      <c r="AM136" s="44">
        <f t="shared" si="4"/>
        <v>164185</v>
      </c>
      <c r="AN136" s="25" t="s">
        <v>55</v>
      </c>
    </row>
    <row r="137" spans="1:40" ht="30" customHeight="1">
      <c r="A137" s="162"/>
      <c r="B137" s="17">
        <v>136</v>
      </c>
      <c r="C137" s="86">
        <v>46008.743750000001</v>
      </c>
      <c r="D137" s="16" t="s">
        <v>726</v>
      </c>
      <c r="E137" s="16" t="s">
        <v>536</v>
      </c>
      <c r="F137" s="19" t="s">
        <v>70</v>
      </c>
      <c r="G137" s="16" t="s">
        <v>71</v>
      </c>
      <c r="H137" s="16" t="s">
        <v>727</v>
      </c>
      <c r="I137" s="16" t="s">
        <v>728</v>
      </c>
      <c r="J137" s="16" t="s">
        <v>729</v>
      </c>
      <c r="K137" s="34" t="s">
        <v>730</v>
      </c>
      <c r="L137" s="34" t="s">
        <v>553</v>
      </c>
      <c r="M137" s="34" t="s">
        <v>74</v>
      </c>
      <c r="N137" s="34" t="s">
        <v>731</v>
      </c>
      <c r="O137" s="34" t="s">
        <v>732</v>
      </c>
      <c r="P137" s="34" t="s">
        <v>46</v>
      </c>
      <c r="Q137" s="34" t="s">
        <v>733</v>
      </c>
      <c r="R137" s="34" t="s">
        <v>48</v>
      </c>
      <c r="S137" s="34"/>
      <c r="U137" s="34"/>
      <c r="V137" s="20" t="s">
        <v>502</v>
      </c>
      <c r="W137" s="34">
        <v>1196</v>
      </c>
      <c r="X137" s="34" t="s">
        <v>123</v>
      </c>
      <c r="Y137" s="20" t="s">
        <v>51</v>
      </c>
      <c r="Z137" s="34"/>
      <c r="AA137" s="34"/>
      <c r="AB137" s="20" t="s">
        <v>210</v>
      </c>
      <c r="AC137" s="109">
        <v>45901</v>
      </c>
      <c r="AD137" s="121">
        <v>46008</v>
      </c>
      <c r="AE137" s="42">
        <v>45991</v>
      </c>
      <c r="AF137" s="23">
        <f t="shared" si="5"/>
        <v>107</v>
      </c>
      <c r="AG137" s="24" t="s">
        <v>54</v>
      </c>
      <c r="AH137" s="40">
        <v>80000</v>
      </c>
      <c r="AI137" s="40"/>
      <c r="AJ137" s="40"/>
      <c r="AK137" s="40">
        <v>9045</v>
      </c>
      <c r="AL137" s="44">
        <v>108782</v>
      </c>
      <c r="AM137" s="44">
        <f t="shared" si="4"/>
        <v>197827</v>
      </c>
      <c r="AN137" s="31" t="s">
        <v>132</v>
      </c>
    </row>
    <row r="138" spans="1:40" ht="30" customHeight="1">
      <c r="A138" s="162"/>
      <c r="B138" s="17">
        <v>137</v>
      </c>
      <c r="C138" s="89">
        <v>46012</v>
      </c>
      <c r="D138" s="16" t="s">
        <v>548</v>
      </c>
      <c r="E138" s="16" t="s">
        <v>734</v>
      </c>
      <c r="F138" s="16" t="s">
        <v>388</v>
      </c>
      <c r="G138" s="16" t="s">
        <v>43</v>
      </c>
      <c r="H138" s="16" t="s">
        <v>735</v>
      </c>
      <c r="I138" s="16" t="s">
        <v>736</v>
      </c>
      <c r="J138" s="16" t="s">
        <v>126</v>
      </c>
      <c r="K138" s="34" t="s">
        <v>737</v>
      </c>
      <c r="L138" s="34" t="s">
        <v>515</v>
      </c>
      <c r="M138" s="34" t="s">
        <v>378</v>
      </c>
      <c r="N138" s="34" t="s">
        <v>738</v>
      </c>
      <c r="O138" s="34" t="s">
        <v>43</v>
      </c>
      <c r="P138" s="34" t="s">
        <v>46</v>
      </c>
      <c r="Q138" s="34" t="s">
        <v>47</v>
      </c>
      <c r="R138" s="34" t="s">
        <v>48</v>
      </c>
      <c r="S138" s="34"/>
      <c r="U138" s="34"/>
      <c r="V138" s="34" t="s">
        <v>739</v>
      </c>
      <c r="W138" s="34">
        <v>13319</v>
      </c>
      <c r="X138" s="34" t="s">
        <v>67</v>
      </c>
      <c r="Y138" s="20" t="s">
        <v>51</v>
      </c>
      <c r="Z138" s="34"/>
      <c r="AA138" s="34"/>
      <c r="AB138" s="20" t="s">
        <v>47</v>
      </c>
      <c r="AC138" s="109">
        <v>45778</v>
      </c>
      <c r="AD138" s="121">
        <v>46006</v>
      </c>
      <c r="AE138" s="42">
        <v>45847</v>
      </c>
      <c r="AF138" s="23">
        <f t="shared" si="5"/>
        <v>228</v>
      </c>
      <c r="AG138" s="24" t="s">
        <v>85</v>
      </c>
      <c r="AH138" s="34">
        <v>0</v>
      </c>
      <c r="AI138" s="34"/>
      <c r="AJ138" s="34"/>
      <c r="AK138" s="34">
        <v>8945</v>
      </c>
      <c r="AL138" s="50">
        <v>815</v>
      </c>
      <c r="AM138" s="44">
        <f t="shared" si="4"/>
        <v>9760</v>
      </c>
      <c r="AN138" s="25" t="s">
        <v>55</v>
      </c>
    </row>
    <row r="139" spans="1:40" ht="30" customHeight="1">
      <c r="A139" s="161">
        <v>46027</v>
      </c>
      <c r="B139" s="17">
        <v>138</v>
      </c>
      <c r="C139" s="86">
        <v>46003</v>
      </c>
      <c r="D139" s="16" t="s">
        <v>740</v>
      </c>
      <c r="E139" s="16" t="s">
        <v>741</v>
      </c>
      <c r="F139" s="19" t="s">
        <v>98</v>
      </c>
      <c r="G139" s="16" t="s">
        <v>43</v>
      </c>
      <c r="H139" s="16" t="s">
        <v>742</v>
      </c>
      <c r="I139" s="16" t="s">
        <v>743</v>
      </c>
      <c r="J139" s="41" t="s">
        <v>45</v>
      </c>
      <c r="K139" s="34" t="s">
        <v>744</v>
      </c>
      <c r="L139" s="34" t="s">
        <v>745</v>
      </c>
      <c r="M139" s="34" t="s">
        <v>746</v>
      </c>
      <c r="N139" s="34" t="s">
        <v>145</v>
      </c>
      <c r="O139" s="34" t="s">
        <v>746</v>
      </c>
      <c r="P139" s="34" t="s">
        <v>46</v>
      </c>
      <c r="Q139" s="34" t="s">
        <v>747</v>
      </c>
      <c r="R139" s="34" t="s">
        <v>48</v>
      </c>
      <c r="S139" s="34"/>
      <c r="U139" s="34"/>
      <c r="V139" s="34" t="s">
        <v>747</v>
      </c>
      <c r="W139" s="34">
        <v>1594</v>
      </c>
      <c r="X139" s="34" t="s">
        <v>123</v>
      </c>
      <c r="Y139" s="20" t="s">
        <v>51</v>
      </c>
      <c r="Z139" s="34"/>
      <c r="AA139" s="34"/>
      <c r="AB139" s="20" t="s">
        <v>80</v>
      </c>
      <c r="AC139" s="91">
        <v>45627</v>
      </c>
      <c r="AD139" s="121">
        <v>46004</v>
      </c>
      <c r="AE139" s="34"/>
      <c r="AF139" s="23">
        <f t="shared" si="5"/>
        <v>377</v>
      </c>
      <c r="AG139" s="110" t="s">
        <v>611</v>
      </c>
      <c r="AH139" s="40">
        <v>80000</v>
      </c>
      <c r="AI139" s="40"/>
      <c r="AJ139" s="40"/>
      <c r="AK139" s="40">
        <f>5945+3000</f>
        <v>8945</v>
      </c>
      <c r="AL139" s="40">
        <v>0</v>
      </c>
      <c r="AM139" s="44">
        <f t="shared" si="4"/>
        <v>88945</v>
      </c>
      <c r="AN139" s="25" t="s">
        <v>55</v>
      </c>
    </row>
    <row r="140" spans="1:40" ht="30" customHeight="1">
      <c r="A140" s="161"/>
      <c r="B140" s="17">
        <v>139</v>
      </c>
      <c r="C140" s="86">
        <v>46018</v>
      </c>
      <c r="D140" s="16" t="s">
        <v>748</v>
      </c>
      <c r="E140" s="16" t="s">
        <v>749</v>
      </c>
      <c r="F140" s="19" t="s">
        <v>98</v>
      </c>
      <c r="G140" s="16" t="s">
        <v>202</v>
      </c>
      <c r="H140" s="16" t="s">
        <v>750</v>
      </c>
      <c r="I140" s="16" t="s">
        <v>751</v>
      </c>
      <c r="J140" s="16" t="s">
        <v>126</v>
      </c>
      <c r="K140" s="34" t="s">
        <v>752</v>
      </c>
      <c r="L140" s="34"/>
      <c r="M140" s="34"/>
      <c r="N140" s="34" t="s">
        <v>753</v>
      </c>
      <c r="O140" s="34"/>
      <c r="P140" s="34" t="s">
        <v>46</v>
      </c>
      <c r="Q140" s="34" t="s">
        <v>701</v>
      </c>
      <c r="R140" s="34" t="s">
        <v>48</v>
      </c>
      <c r="S140" s="34"/>
      <c r="U140" s="34"/>
      <c r="V140" s="34" t="s">
        <v>208</v>
      </c>
      <c r="W140" s="34">
        <v>1894</v>
      </c>
      <c r="X140" s="34" t="s">
        <v>123</v>
      </c>
      <c r="Y140" s="20" t="s">
        <v>51</v>
      </c>
      <c r="Z140" s="34"/>
      <c r="AA140" s="34"/>
      <c r="AB140" s="20" t="s">
        <v>210</v>
      </c>
      <c r="AC140" s="109">
        <v>45809</v>
      </c>
      <c r="AD140" s="121">
        <v>46002</v>
      </c>
      <c r="AE140" s="34"/>
      <c r="AF140" s="23">
        <f t="shared" si="5"/>
        <v>193</v>
      </c>
      <c r="AG140" s="24" t="s">
        <v>85</v>
      </c>
      <c r="AH140" s="34">
        <f>267*20*2</f>
        <v>10680</v>
      </c>
      <c r="AI140" s="34"/>
      <c r="AJ140" s="34"/>
      <c r="AK140" s="40">
        <v>9045</v>
      </c>
      <c r="AL140" s="44">
        <v>108782</v>
      </c>
      <c r="AM140" s="44">
        <f t="shared" si="4"/>
        <v>128507</v>
      </c>
      <c r="AN140" s="31" t="s">
        <v>132</v>
      </c>
    </row>
    <row r="141" spans="1:40" ht="30" customHeight="1" thickBot="1">
      <c r="A141" s="161"/>
      <c r="B141" s="17">
        <v>140</v>
      </c>
      <c r="C141" s="86">
        <v>46018</v>
      </c>
      <c r="D141" s="16" t="s">
        <v>754</v>
      </c>
      <c r="E141" s="16" t="s">
        <v>92</v>
      </c>
      <c r="F141" s="19" t="s">
        <v>92</v>
      </c>
      <c r="G141" s="16" t="s">
        <v>340</v>
      </c>
      <c r="H141" s="16" t="s">
        <v>755</v>
      </c>
      <c r="I141" s="16" t="s">
        <v>756</v>
      </c>
      <c r="J141" s="16" t="s">
        <v>126</v>
      </c>
      <c r="K141" s="34" t="s">
        <v>757</v>
      </c>
      <c r="L141" s="34" t="s">
        <v>758</v>
      </c>
      <c r="M141" s="34" t="s">
        <v>378</v>
      </c>
      <c r="N141" s="34" t="s">
        <v>759</v>
      </c>
      <c r="O141" s="34" t="s">
        <v>760</v>
      </c>
      <c r="P141" s="34" t="s">
        <v>46</v>
      </c>
      <c r="Q141" s="34" t="s">
        <v>248</v>
      </c>
      <c r="R141" s="34" t="s">
        <v>48</v>
      </c>
      <c r="S141" s="34"/>
      <c r="U141" s="34"/>
      <c r="V141" s="34" t="s">
        <v>249</v>
      </c>
      <c r="W141" s="34">
        <v>4122</v>
      </c>
      <c r="X141" s="34" t="s">
        <v>79</v>
      </c>
      <c r="Y141" s="20" t="s">
        <v>51</v>
      </c>
      <c r="Z141" s="43"/>
      <c r="AA141" s="43"/>
      <c r="AB141" s="55" t="s">
        <v>251</v>
      </c>
      <c r="AC141" s="121">
        <v>45809</v>
      </c>
      <c r="AD141" s="121">
        <v>46000</v>
      </c>
      <c r="AE141" s="43"/>
      <c r="AF141" s="23">
        <f t="shared" si="5"/>
        <v>191</v>
      </c>
      <c r="AG141" s="24" t="s">
        <v>85</v>
      </c>
      <c r="AH141" s="43">
        <f>100*20*2</f>
        <v>4000</v>
      </c>
      <c r="AI141" s="43"/>
      <c r="AJ141" s="43"/>
      <c r="AK141" s="40">
        <v>9045</v>
      </c>
      <c r="AL141" s="44">
        <v>75140</v>
      </c>
      <c r="AM141" s="44">
        <f t="shared" si="4"/>
        <v>88185</v>
      </c>
      <c r="AN141" s="25" t="s">
        <v>55</v>
      </c>
    </row>
    <row r="142" spans="1:40" ht="30" customHeight="1">
      <c r="A142" s="161">
        <v>46035</v>
      </c>
      <c r="B142" s="17">
        <v>141</v>
      </c>
      <c r="C142" s="86">
        <v>46024</v>
      </c>
      <c r="D142" s="16" t="s">
        <v>625</v>
      </c>
      <c r="E142" s="16" t="s">
        <v>244</v>
      </c>
      <c r="F142" s="49" t="s">
        <v>244</v>
      </c>
      <c r="G142" s="16" t="s">
        <v>71</v>
      </c>
      <c r="H142" s="16" t="s">
        <v>761</v>
      </c>
      <c r="I142" s="16" t="s">
        <v>762</v>
      </c>
      <c r="J142" s="41" t="s">
        <v>45</v>
      </c>
      <c r="K142" s="34" t="s">
        <v>763</v>
      </c>
      <c r="L142" s="34" t="s">
        <v>577</v>
      </c>
      <c r="M142" s="34" t="s">
        <v>378</v>
      </c>
      <c r="N142" s="34" t="s">
        <v>724</v>
      </c>
      <c r="O142" s="34" t="s">
        <v>599</v>
      </c>
      <c r="P142" s="34" t="s">
        <v>46</v>
      </c>
      <c r="Q142" s="34" t="s">
        <v>248</v>
      </c>
      <c r="R142" s="34" t="s">
        <v>48</v>
      </c>
      <c r="S142" s="34"/>
      <c r="U142" s="34"/>
      <c r="V142" s="34" t="s">
        <v>249</v>
      </c>
      <c r="W142" s="34">
        <v>9962</v>
      </c>
      <c r="X142" s="20" t="s">
        <v>288</v>
      </c>
      <c r="Y142" s="20" t="s">
        <v>51</v>
      </c>
      <c r="Z142" s="122"/>
      <c r="AA142" s="122"/>
      <c r="AB142" s="55" t="s">
        <v>251</v>
      </c>
      <c r="AC142" s="123">
        <v>45778</v>
      </c>
      <c r="AD142" s="123">
        <v>46023</v>
      </c>
      <c r="AE142" s="122"/>
      <c r="AF142" s="23">
        <f t="shared" si="5"/>
        <v>245</v>
      </c>
      <c r="AG142" s="24" t="s">
        <v>85</v>
      </c>
      <c r="AH142" s="40">
        <v>80000</v>
      </c>
      <c r="AI142" s="40"/>
      <c r="AJ142" s="40"/>
      <c r="AK142" s="40">
        <v>9045</v>
      </c>
      <c r="AL142" s="44">
        <v>75140</v>
      </c>
      <c r="AM142" s="44">
        <f t="shared" si="4"/>
        <v>164185</v>
      </c>
      <c r="AN142" s="25" t="s">
        <v>55</v>
      </c>
    </row>
    <row r="143" spans="1:40" ht="30" customHeight="1">
      <c r="A143" s="161"/>
      <c r="B143" s="17">
        <v>142</v>
      </c>
      <c r="C143" s="86">
        <v>46028</v>
      </c>
      <c r="D143" s="16" t="s">
        <v>764</v>
      </c>
      <c r="E143" s="16" t="s">
        <v>388</v>
      </c>
      <c r="F143" s="16" t="s">
        <v>388</v>
      </c>
      <c r="G143" s="16" t="s">
        <v>71</v>
      </c>
      <c r="H143" s="16" t="s">
        <v>765</v>
      </c>
      <c r="I143" s="16" t="s">
        <v>766</v>
      </c>
      <c r="J143" s="16" t="s">
        <v>126</v>
      </c>
      <c r="K143" s="34" t="s">
        <v>767</v>
      </c>
      <c r="L143" s="34" t="s">
        <v>577</v>
      </c>
      <c r="M143" s="34" t="s">
        <v>378</v>
      </c>
      <c r="N143" s="34" t="s">
        <v>724</v>
      </c>
      <c r="O143" s="34" t="s">
        <v>599</v>
      </c>
      <c r="P143" s="34" t="s">
        <v>46</v>
      </c>
      <c r="Q143" s="34" t="s">
        <v>248</v>
      </c>
      <c r="R143" s="34" t="s">
        <v>48</v>
      </c>
      <c r="S143" s="34"/>
      <c r="U143" s="34"/>
      <c r="V143" s="34" t="s">
        <v>249</v>
      </c>
      <c r="W143" s="34">
        <v>4787</v>
      </c>
      <c r="X143" s="34" t="s">
        <v>79</v>
      </c>
      <c r="Y143" s="20" t="s">
        <v>51</v>
      </c>
      <c r="Z143" s="34"/>
      <c r="AA143" s="34"/>
      <c r="AB143" s="55" t="s">
        <v>251</v>
      </c>
      <c r="AC143" s="109">
        <v>45809</v>
      </c>
      <c r="AD143" s="109">
        <v>46023</v>
      </c>
      <c r="AE143" s="34"/>
      <c r="AF143" s="23">
        <f t="shared" si="5"/>
        <v>214</v>
      </c>
      <c r="AG143" s="24" t="s">
        <v>85</v>
      </c>
      <c r="AH143" s="40">
        <v>80000</v>
      </c>
      <c r="AI143" s="40"/>
      <c r="AJ143" s="40"/>
      <c r="AK143" s="40">
        <v>9045</v>
      </c>
      <c r="AL143" s="44">
        <v>75140</v>
      </c>
      <c r="AM143" s="44">
        <f t="shared" si="4"/>
        <v>164185</v>
      </c>
      <c r="AN143" s="25" t="s">
        <v>55</v>
      </c>
    </row>
    <row r="144" spans="1:40" ht="30" customHeight="1">
      <c r="A144" s="161"/>
      <c r="B144" s="17">
        <v>143</v>
      </c>
      <c r="C144" s="86">
        <v>46029</v>
      </c>
      <c r="D144" s="16" t="s">
        <v>625</v>
      </c>
      <c r="E144" s="16" t="s">
        <v>244</v>
      </c>
      <c r="F144" s="49" t="s">
        <v>244</v>
      </c>
      <c r="G144" s="16" t="s">
        <v>71</v>
      </c>
      <c r="H144" s="16" t="s">
        <v>768</v>
      </c>
      <c r="I144" s="16" t="s">
        <v>769</v>
      </c>
      <c r="J144" s="41" t="s">
        <v>45</v>
      </c>
      <c r="K144" s="34" t="s">
        <v>770</v>
      </c>
      <c r="L144" s="34" t="s">
        <v>507</v>
      </c>
      <c r="M144" s="34" t="s">
        <v>378</v>
      </c>
      <c r="N144" s="34" t="s">
        <v>724</v>
      </c>
      <c r="O144" s="34" t="s">
        <v>599</v>
      </c>
      <c r="P144" s="34" t="s">
        <v>46</v>
      </c>
      <c r="Q144" s="34" t="s">
        <v>248</v>
      </c>
      <c r="R144" s="34" t="s">
        <v>48</v>
      </c>
      <c r="S144" s="34"/>
      <c r="U144" s="34"/>
      <c r="V144" s="34" t="s">
        <v>249</v>
      </c>
      <c r="W144" s="34">
        <v>11072</v>
      </c>
      <c r="X144" s="34" t="s">
        <v>67</v>
      </c>
      <c r="Y144" s="20" t="s">
        <v>51</v>
      </c>
      <c r="Z144" s="34"/>
      <c r="AA144" s="34"/>
      <c r="AB144" s="55" t="s">
        <v>251</v>
      </c>
      <c r="AC144" s="109">
        <v>45748</v>
      </c>
      <c r="AD144" s="109">
        <v>46023</v>
      </c>
      <c r="AE144" s="34"/>
      <c r="AF144" s="23">
        <f t="shared" si="5"/>
        <v>275</v>
      </c>
      <c r="AG144" s="110" t="s">
        <v>611</v>
      </c>
      <c r="AH144" s="40">
        <v>80000</v>
      </c>
      <c r="AI144" s="40"/>
      <c r="AJ144" s="40"/>
      <c r="AK144" s="40">
        <v>9045</v>
      </c>
      <c r="AL144" s="44">
        <v>75140</v>
      </c>
      <c r="AM144" s="44">
        <f t="shared" si="4"/>
        <v>164185</v>
      </c>
      <c r="AN144" s="25" t="s">
        <v>55</v>
      </c>
    </row>
    <row r="145" spans="1:40" ht="30" customHeight="1">
      <c r="A145" s="161"/>
      <c r="B145" s="17">
        <v>144</v>
      </c>
      <c r="C145" s="86">
        <v>46030</v>
      </c>
      <c r="D145" s="16" t="s">
        <v>771</v>
      </c>
      <c r="E145" s="16" t="s">
        <v>148</v>
      </c>
      <c r="F145" s="16" t="s">
        <v>148</v>
      </c>
      <c r="G145" s="16" t="s">
        <v>71</v>
      </c>
      <c r="H145" s="16" t="s">
        <v>772</v>
      </c>
      <c r="I145" s="16" t="s">
        <v>773</v>
      </c>
      <c r="J145" s="16" t="s">
        <v>126</v>
      </c>
      <c r="K145" s="34" t="s">
        <v>774</v>
      </c>
      <c r="L145" s="34" t="s">
        <v>577</v>
      </c>
      <c r="M145" s="34" t="s">
        <v>378</v>
      </c>
      <c r="N145" s="34" t="s">
        <v>724</v>
      </c>
      <c r="O145" s="34" t="s">
        <v>599</v>
      </c>
      <c r="P145" s="34" t="s">
        <v>46</v>
      </c>
      <c r="Q145" s="34" t="s">
        <v>248</v>
      </c>
      <c r="R145" s="34" t="s">
        <v>48</v>
      </c>
      <c r="S145" s="34"/>
      <c r="U145" s="34"/>
      <c r="V145" s="34" t="s">
        <v>249</v>
      </c>
      <c r="W145" s="34">
        <v>14807</v>
      </c>
      <c r="X145" s="34" t="s">
        <v>67</v>
      </c>
      <c r="Y145" s="20" t="s">
        <v>51</v>
      </c>
      <c r="Z145" s="34"/>
      <c r="AA145" s="34"/>
      <c r="AB145" s="55" t="s">
        <v>251</v>
      </c>
      <c r="AC145" s="109">
        <v>45809</v>
      </c>
      <c r="AD145" s="109">
        <v>46023</v>
      </c>
      <c r="AE145" s="34"/>
      <c r="AF145" s="23">
        <f t="shared" si="5"/>
        <v>214</v>
      </c>
      <c r="AG145" s="24" t="s">
        <v>85</v>
      </c>
      <c r="AH145" s="40">
        <v>80000</v>
      </c>
      <c r="AI145" s="40"/>
      <c r="AJ145" s="40"/>
      <c r="AK145" s="40">
        <v>9045</v>
      </c>
      <c r="AL145" s="44">
        <v>75140</v>
      </c>
      <c r="AM145" s="44">
        <f t="shared" si="4"/>
        <v>164185</v>
      </c>
      <c r="AN145" s="25" t="s">
        <v>55</v>
      </c>
    </row>
    <row r="146" spans="1:40" ht="30" customHeight="1">
      <c r="A146" s="161"/>
      <c r="B146" s="17">
        <v>145</v>
      </c>
      <c r="C146" s="86">
        <v>46031</v>
      </c>
      <c r="D146" s="16" t="s">
        <v>775</v>
      </c>
      <c r="E146" s="16" t="s">
        <v>388</v>
      </c>
      <c r="F146" s="16" t="s">
        <v>388</v>
      </c>
      <c r="G146" s="16" t="s">
        <v>71</v>
      </c>
      <c r="H146" s="16" t="s">
        <v>776</v>
      </c>
      <c r="I146" s="16" t="s">
        <v>777</v>
      </c>
      <c r="J146" s="16" t="s">
        <v>126</v>
      </c>
      <c r="K146" s="34" t="s">
        <v>778</v>
      </c>
      <c r="L146" s="34" t="s">
        <v>779</v>
      </c>
      <c r="M146" s="34" t="s">
        <v>378</v>
      </c>
      <c r="N146" s="34" t="s">
        <v>724</v>
      </c>
      <c r="O146" s="34" t="s">
        <v>599</v>
      </c>
      <c r="P146" s="34" t="s">
        <v>46</v>
      </c>
      <c r="Q146" s="34" t="s">
        <v>248</v>
      </c>
      <c r="R146" s="34" t="s">
        <v>48</v>
      </c>
      <c r="S146" s="34"/>
      <c r="U146" s="34"/>
      <c r="V146" s="34" t="s">
        <v>249</v>
      </c>
      <c r="W146" s="34">
        <v>16482</v>
      </c>
      <c r="X146" s="34" t="s">
        <v>107</v>
      </c>
      <c r="Y146" s="20" t="s">
        <v>51</v>
      </c>
      <c r="Z146" s="34"/>
      <c r="AA146" s="34"/>
      <c r="AB146" s="55" t="s">
        <v>251</v>
      </c>
      <c r="AC146" s="109">
        <v>45748</v>
      </c>
      <c r="AD146" s="109">
        <v>46023</v>
      </c>
      <c r="AE146" s="34"/>
      <c r="AF146" s="124">
        <f t="shared" si="5"/>
        <v>275</v>
      </c>
      <c r="AG146" s="110" t="s">
        <v>611</v>
      </c>
      <c r="AH146" s="40">
        <v>80000</v>
      </c>
      <c r="AI146" s="40"/>
      <c r="AJ146" s="40"/>
      <c r="AK146" s="40">
        <v>9045</v>
      </c>
      <c r="AL146" s="44">
        <v>75140</v>
      </c>
      <c r="AM146" s="44">
        <f t="shared" si="4"/>
        <v>164185</v>
      </c>
      <c r="AN146" s="25" t="s">
        <v>55</v>
      </c>
    </row>
    <row r="147" spans="1:40" ht="30" customHeight="1">
      <c r="A147" s="161"/>
      <c r="B147" s="17">
        <v>146</v>
      </c>
      <c r="C147" s="86">
        <v>46033</v>
      </c>
      <c r="D147" s="16" t="s">
        <v>780</v>
      </c>
      <c r="E147" s="16" t="s">
        <v>148</v>
      </c>
      <c r="F147" s="16" t="s">
        <v>148</v>
      </c>
      <c r="G147" s="16" t="s">
        <v>71</v>
      </c>
      <c r="H147" s="16" t="s">
        <v>781</v>
      </c>
      <c r="I147" s="16" t="s">
        <v>782</v>
      </c>
      <c r="J147" s="41" t="s">
        <v>45</v>
      </c>
      <c r="K147" s="34" t="s">
        <v>783</v>
      </c>
      <c r="L147" s="34" t="s">
        <v>784</v>
      </c>
      <c r="M147" s="34" t="s">
        <v>378</v>
      </c>
      <c r="N147" s="34" t="s">
        <v>724</v>
      </c>
      <c r="O147" s="34" t="s">
        <v>599</v>
      </c>
      <c r="P147" s="34" t="s">
        <v>46</v>
      </c>
      <c r="Q147" s="34" t="s">
        <v>248</v>
      </c>
      <c r="R147" s="34" t="s">
        <v>48</v>
      </c>
      <c r="S147" s="34"/>
      <c r="U147" s="34"/>
      <c r="V147" s="34" t="s">
        <v>249</v>
      </c>
      <c r="W147" s="34">
        <v>14307</v>
      </c>
      <c r="X147" s="34" t="s">
        <v>67</v>
      </c>
      <c r="Y147" s="20" t="s">
        <v>51</v>
      </c>
      <c r="Z147" s="34"/>
      <c r="AA147" s="34"/>
      <c r="AB147" s="55" t="s">
        <v>251</v>
      </c>
      <c r="AC147" s="109">
        <v>45809</v>
      </c>
      <c r="AD147" s="109">
        <v>46023</v>
      </c>
      <c r="AE147" s="34"/>
      <c r="AF147" s="124">
        <f t="shared" si="5"/>
        <v>214</v>
      </c>
      <c r="AG147" s="118" t="s">
        <v>85</v>
      </c>
      <c r="AH147" s="40">
        <v>80000</v>
      </c>
      <c r="AI147" s="40"/>
      <c r="AJ147" s="40"/>
      <c r="AK147" s="40">
        <v>9045</v>
      </c>
      <c r="AL147" s="44">
        <v>75140</v>
      </c>
      <c r="AM147" s="44">
        <f t="shared" si="4"/>
        <v>164185</v>
      </c>
      <c r="AN147" s="25" t="s">
        <v>55</v>
      </c>
    </row>
    <row r="148" spans="1:40" ht="30" customHeight="1">
      <c r="A148" s="161"/>
      <c r="B148" s="17">
        <v>147</v>
      </c>
      <c r="C148" s="86">
        <v>46033</v>
      </c>
      <c r="D148" s="16" t="s">
        <v>785</v>
      </c>
      <c r="E148" s="16" t="s">
        <v>388</v>
      </c>
      <c r="F148" s="16" t="s">
        <v>388</v>
      </c>
      <c r="G148" s="16" t="s">
        <v>71</v>
      </c>
      <c r="H148" s="16" t="s">
        <v>786</v>
      </c>
      <c r="I148" s="16" t="s">
        <v>787</v>
      </c>
      <c r="J148" s="41" t="s">
        <v>45</v>
      </c>
      <c r="K148" s="34" t="s">
        <v>788</v>
      </c>
      <c r="L148" s="34" t="s">
        <v>779</v>
      </c>
      <c r="M148" s="34" t="s">
        <v>378</v>
      </c>
      <c r="N148" s="34" t="s">
        <v>724</v>
      </c>
      <c r="O148" s="34" t="s">
        <v>599</v>
      </c>
      <c r="P148" s="34" t="s">
        <v>46</v>
      </c>
      <c r="Q148" s="34" t="s">
        <v>248</v>
      </c>
      <c r="R148" s="34" t="s">
        <v>48</v>
      </c>
      <c r="S148" s="34"/>
      <c r="U148" s="34"/>
      <c r="V148" s="34" t="s">
        <v>249</v>
      </c>
      <c r="W148" s="34">
        <v>9962</v>
      </c>
      <c r="X148" s="20" t="s">
        <v>288</v>
      </c>
      <c r="Y148" s="20" t="s">
        <v>51</v>
      </c>
      <c r="Z148" s="34"/>
      <c r="AA148" s="34"/>
      <c r="AB148" s="55" t="s">
        <v>251</v>
      </c>
      <c r="AC148" s="109">
        <v>45658</v>
      </c>
      <c r="AD148" s="109">
        <v>46023</v>
      </c>
      <c r="AE148" s="34"/>
      <c r="AF148" s="124">
        <f t="shared" si="5"/>
        <v>365</v>
      </c>
      <c r="AG148" s="110" t="s">
        <v>611</v>
      </c>
      <c r="AH148" s="40">
        <v>80000</v>
      </c>
      <c r="AI148" s="40"/>
      <c r="AJ148" s="40"/>
      <c r="AK148" s="40">
        <v>9045</v>
      </c>
      <c r="AL148" s="44">
        <v>75140</v>
      </c>
      <c r="AM148" s="44">
        <f t="shared" si="4"/>
        <v>164185</v>
      </c>
      <c r="AN148" s="25" t="s">
        <v>55</v>
      </c>
    </row>
    <row r="149" spans="1:40" ht="30" customHeight="1">
      <c r="A149" s="161"/>
      <c r="B149" s="17">
        <v>148</v>
      </c>
      <c r="C149" s="86">
        <v>46034</v>
      </c>
      <c r="D149" s="16" t="s">
        <v>789</v>
      </c>
      <c r="E149" s="16" t="s">
        <v>148</v>
      </c>
      <c r="F149" s="16" t="s">
        <v>148</v>
      </c>
      <c r="G149" s="16" t="s">
        <v>71</v>
      </c>
      <c r="H149" s="16" t="s">
        <v>790</v>
      </c>
      <c r="I149" s="16" t="s">
        <v>791</v>
      </c>
      <c r="J149" s="16" t="s">
        <v>729</v>
      </c>
      <c r="K149" s="34" t="s">
        <v>792</v>
      </c>
      <c r="L149" s="34" t="s">
        <v>498</v>
      </c>
      <c r="M149" s="34" t="s">
        <v>378</v>
      </c>
      <c r="N149" s="34" t="s">
        <v>724</v>
      </c>
      <c r="O149" s="34" t="s">
        <v>599</v>
      </c>
      <c r="P149" s="34" t="s">
        <v>46</v>
      </c>
      <c r="Q149" s="34" t="s">
        <v>248</v>
      </c>
      <c r="R149" s="34" t="s">
        <v>48</v>
      </c>
      <c r="S149" s="34"/>
      <c r="U149" s="34"/>
      <c r="V149" s="34" t="s">
        <v>249</v>
      </c>
      <c r="W149" s="34">
        <v>234</v>
      </c>
      <c r="X149" s="34" t="s">
        <v>90</v>
      </c>
      <c r="Y149" s="20" t="s">
        <v>51</v>
      </c>
      <c r="Z149" s="34"/>
      <c r="AA149" s="34"/>
      <c r="AB149" s="55" t="s">
        <v>251</v>
      </c>
      <c r="AC149" s="109">
        <v>45931</v>
      </c>
      <c r="AD149" s="109">
        <v>46023</v>
      </c>
      <c r="AE149" s="34"/>
      <c r="AF149" s="124">
        <f t="shared" si="5"/>
        <v>92</v>
      </c>
      <c r="AG149" s="24" t="s">
        <v>54</v>
      </c>
      <c r="AH149" s="40">
        <v>80000</v>
      </c>
      <c r="AI149" s="40"/>
      <c r="AJ149" s="40"/>
      <c r="AK149" s="40">
        <v>9045</v>
      </c>
      <c r="AL149" s="44">
        <v>75140</v>
      </c>
      <c r="AM149" s="44">
        <f t="shared" si="4"/>
        <v>164185</v>
      </c>
      <c r="AN149" s="25" t="s">
        <v>55</v>
      </c>
    </row>
    <row r="150" spans="1:40" ht="30" customHeight="1">
      <c r="A150" s="161"/>
      <c r="B150" s="17">
        <v>149</v>
      </c>
      <c r="C150" s="86">
        <v>46031</v>
      </c>
      <c r="D150" s="16" t="s">
        <v>793</v>
      </c>
      <c r="E150" s="16" t="s">
        <v>794</v>
      </c>
      <c r="F150" s="19" t="s">
        <v>98</v>
      </c>
      <c r="G150" s="16" t="s">
        <v>202</v>
      </c>
      <c r="H150" s="16" t="s">
        <v>795</v>
      </c>
      <c r="I150" s="92" t="s">
        <v>796</v>
      </c>
      <c r="J150" s="16" t="s">
        <v>126</v>
      </c>
      <c r="K150" s="34" t="s">
        <v>797</v>
      </c>
      <c r="L150" s="34" t="s">
        <v>531</v>
      </c>
      <c r="M150" s="34" t="s">
        <v>378</v>
      </c>
      <c r="N150" s="34" t="s">
        <v>798</v>
      </c>
      <c r="O150" s="34" t="s">
        <v>799</v>
      </c>
      <c r="P150" s="34" t="s">
        <v>46</v>
      </c>
      <c r="Q150" s="34" t="s">
        <v>800</v>
      </c>
      <c r="R150" s="34" t="s">
        <v>48</v>
      </c>
      <c r="S150" s="34"/>
      <c r="U150" s="34"/>
      <c r="V150" s="20" t="s">
        <v>454</v>
      </c>
      <c r="W150" s="34">
        <v>19820</v>
      </c>
      <c r="X150" s="34" t="s">
        <v>107</v>
      </c>
      <c r="Y150" s="20" t="s">
        <v>51</v>
      </c>
      <c r="Z150" s="34"/>
      <c r="AA150" s="34"/>
      <c r="AB150" s="34" t="s">
        <v>210</v>
      </c>
      <c r="AC150" s="109">
        <v>45778</v>
      </c>
      <c r="AD150" s="109">
        <v>46023</v>
      </c>
      <c r="AE150" s="34"/>
      <c r="AF150" s="124">
        <f t="shared" si="5"/>
        <v>245</v>
      </c>
      <c r="AG150" s="118" t="s">
        <v>85</v>
      </c>
      <c r="AH150" s="34">
        <v>34600</v>
      </c>
      <c r="AI150" s="20">
        <f>8*725</f>
        <v>5800</v>
      </c>
      <c r="AJ150" s="20">
        <f>4.5*725</f>
        <v>3262.5</v>
      </c>
      <c r="AK150" s="40">
        <v>9062</v>
      </c>
      <c r="AL150" s="44">
        <v>108782</v>
      </c>
      <c r="AM150" s="44">
        <f t="shared" si="4"/>
        <v>152444</v>
      </c>
      <c r="AN150" s="31" t="s">
        <v>132</v>
      </c>
    </row>
    <row r="151" spans="1:40" ht="30" customHeight="1">
      <c r="A151" s="161"/>
      <c r="B151" s="17">
        <v>150</v>
      </c>
      <c r="C151" s="86">
        <v>46029</v>
      </c>
      <c r="D151" s="16" t="s">
        <v>801</v>
      </c>
      <c r="E151" s="16" t="s">
        <v>235</v>
      </c>
      <c r="F151" s="16" t="s">
        <v>235</v>
      </c>
      <c r="G151" s="16" t="s">
        <v>71</v>
      </c>
      <c r="H151" s="16" t="s">
        <v>802</v>
      </c>
      <c r="I151" s="16" t="s">
        <v>803</v>
      </c>
      <c r="J151" s="16" t="s">
        <v>729</v>
      </c>
      <c r="K151" s="34" t="s">
        <v>804</v>
      </c>
      <c r="L151" s="34" t="s">
        <v>553</v>
      </c>
      <c r="M151" s="34" t="s">
        <v>378</v>
      </c>
      <c r="N151" s="34" t="s">
        <v>805</v>
      </c>
      <c r="O151" s="34" t="s">
        <v>599</v>
      </c>
      <c r="P151" s="34" t="s">
        <v>46</v>
      </c>
      <c r="Q151" s="34" t="s">
        <v>248</v>
      </c>
      <c r="R151" s="34" t="s">
        <v>48</v>
      </c>
      <c r="S151" s="34"/>
      <c r="U151" s="34"/>
      <c r="V151" s="34" t="s">
        <v>249</v>
      </c>
      <c r="W151" s="34">
        <v>77</v>
      </c>
      <c r="X151" s="34" t="s">
        <v>90</v>
      </c>
      <c r="Y151" s="20" t="s">
        <v>51</v>
      </c>
      <c r="Z151" s="34"/>
      <c r="AA151" s="34"/>
      <c r="AB151" s="55" t="s">
        <v>251</v>
      </c>
      <c r="AC151" s="109">
        <v>45931</v>
      </c>
      <c r="AD151" s="109">
        <v>46023</v>
      </c>
      <c r="AE151" s="34"/>
      <c r="AF151" s="124">
        <f t="shared" si="5"/>
        <v>92</v>
      </c>
      <c r="AG151" s="24" t="s">
        <v>54</v>
      </c>
      <c r="AH151" s="40">
        <v>80000</v>
      </c>
      <c r="AI151" s="40"/>
      <c r="AJ151" s="40"/>
      <c r="AK151" s="40">
        <v>9045</v>
      </c>
      <c r="AL151" s="44">
        <v>75140</v>
      </c>
      <c r="AM151" s="44">
        <f t="shared" si="4"/>
        <v>164185</v>
      </c>
      <c r="AN151" s="25" t="s">
        <v>55</v>
      </c>
    </row>
    <row r="152" spans="1:40" ht="30" customHeight="1">
      <c r="A152" s="161"/>
      <c r="B152" s="17">
        <v>151</v>
      </c>
      <c r="C152" s="86">
        <v>46028</v>
      </c>
      <c r="D152" s="16" t="s">
        <v>806</v>
      </c>
      <c r="E152" s="16" t="s">
        <v>807</v>
      </c>
      <c r="F152" s="19" t="s">
        <v>98</v>
      </c>
      <c r="G152" s="16" t="s">
        <v>71</v>
      </c>
      <c r="H152" s="16" t="s">
        <v>808</v>
      </c>
      <c r="I152" s="16" t="s">
        <v>809</v>
      </c>
      <c r="J152" s="16" t="s">
        <v>126</v>
      </c>
      <c r="K152" s="34" t="s">
        <v>810</v>
      </c>
      <c r="L152" s="34" t="s">
        <v>498</v>
      </c>
      <c r="M152" s="34" t="s">
        <v>378</v>
      </c>
      <c r="N152" s="34" t="s">
        <v>811</v>
      </c>
      <c r="O152" s="34" t="s">
        <v>811</v>
      </c>
      <c r="P152" s="34" t="s">
        <v>46</v>
      </c>
      <c r="Q152" s="34" t="s">
        <v>812</v>
      </c>
      <c r="R152" s="34" t="s">
        <v>48</v>
      </c>
      <c r="S152" s="34"/>
      <c r="U152" s="34"/>
      <c r="V152" s="34" t="s">
        <v>813</v>
      </c>
      <c r="W152" s="34">
        <v>1677</v>
      </c>
      <c r="X152" s="34" t="s">
        <v>123</v>
      </c>
      <c r="Y152" s="20" t="s">
        <v>51</v>
      </c>
      <c r="Z152" s="34"/>
      <c r="AA152" s="34"/>
      <c r="AB152" s="34" t="s">
        <v>80</v>
      </c>
      <c r="AC152" s="109">
        <v>45778</v>
      </c>
      <c r="AD152" s="109">
        <v>46023</v>
      </c>
      <c r="AE152" s="34"/>
      <c r="AF152" s="124">
        <f t="shared" si="5"/>
        <v>245</v>
      </c>
      <c r="AG152" s="118" t="s">
        <v>85</v>
      </c>
      <c r="AH152" s="40">
        <v>0</v>
      </c>
      <c r="AI152" s="40"/>
      <c r="AJ152" s="40"/>
      <c r="AK152" s="40">
        <v>5945</v>
      </c>
      <c r="AL152" s="44">
        <v>1038640.9600000001</v>
      </c>
      <c r="AM152" s="44">
        <f t="shared" si="4"/>
        <v>1044585.9600000001</v>
      </c>
      <c r="AN152" s="25" t="s">
        <v>55</v>
      </c>
    </row>
    <row r="153" spans="1:40" ht="30" customHeight="1">
      <c r="A153" s="161">
        <v>46041</v>
      </c>
      <c r="B153" s="17">
        <v>152</v>
      </c>
      <c r="C153" s="89">
        <v>46036</v>
      </c>
      <c r="D153" s="16" t="s">
        <v>814</v>
      </c>
      <c r="E153" s="16" t="s">
        <v>815</v>
      </c>
      <c r="F153" s="19" t="s">
        <v>88</v>
      </c>
      <c r="G153" s="16" t="s">
        <v>589</v>
      </c>
      <c r="H153" s="16" t="s">
        <v>816</v>
      </c>
      <c r="I153" s="16" t="s">
        <v>817</v>
      </c>
      <c r="J153" s="16" t="s">
        <v>126</v>
      </c>
      <c r="K153" s="34" t="s">
        <v>818</v>
      </c>
      <c r="L153" s="34" t="s">
        <v>779</v>
      </c>
      <c r="M153" s="34" t="s">
        <v>378</v>
      </c>
      <c r="N153" s="34"/>
      <c r="O153" s="34" t="s">
        <v>599</v>
      </c>
      <c r="P153" s="34" t="s">
        <v>46</v>
      </c>
      <c r="Q153" s="34" t="s">
        <v>248</v>
      </c>
      <c r="R153" s="34" t="s">
        <v>48</v>
      </c>
      <c r="S153" s="34"/>
      <c r="U153" s="34"/>
      <c r="V153" s="34" t="s">
        <v>249</v>
      </c>
      <c r="W153" s="34">
        <v>3657</v>
      </c>
      <c r="X153" s="34" t="s">
        <v>94</v>
      </c>
      <c r="Y153" s="20" t="s">
        <v>51</v>
      </c>
      <c r="Z153" s="34"/>
      <c r="AA153" s="34"/>
      <c r="AB153" s="55" t="s">
        <v>251</v>
      </c>
      <c r="AC153" s="109">
        <v>45778</v>
      </c>
      <c r="AD153" s="109">
        <v>46023</v>
      </c>
      <c r="AE153" s="34"/>
      <c r="AF153" s="124">
        <f t="shared" si="5"/>
        <v>245</v>
      </c>
      <c r="AG153" s="118" t="s">
        <v>85</v>
      </c>
      <c r="AH153" s="34">
        <v>5560</v>
      </c>
      <c r="AI153" s="34"/>
      <c r="AJ153" s="34"/>
      <c r="AK153" s="40">
        <v>9045</v>
      </c>
      <c r="AL153" s="44">
        <v>75140</v>
      </c>
      <c r="AM153" s="44">
        <f t="shared" si="4"/>
        <v>89745</v>
      </c>
      <c r="AN153" s="25" t="s">
        <v>55</v>
      </c>
    </row>
    <row r="154" spans="1:40" ht="30" customHeight="1">
      <c r="A154" s="161"/>
      <c r="B154" s="17">
        <v>153</v>
      </c>
      <c r="C154" s="89">
        <v>46041</v>
      </c>
      <c r="D154" s="16" t="s">
        <v>709</v>
      </c>
      <c r="E154" s="16" t="s">
        <v>819</v>
      </c>
      <c r="F154" s="19" t="s">
        <v>92</v>
      </c>
      <c r="G154" s="16" t="s">
        <v>560</v>
      </c>
      <c r="H154" s="16" t="s">
        <v>820</v>
      </c>
      <c r="I154" s="16" t="s">
        <v>821</v>
      </c>
      <c r="J154" s="41" t="s">
        <v>45</v>
      </c>
      <c r="K154" s="34" t="s">
        <v>822</v>
      </c>
      <c r="L154" s="34" t="s">
        <v>823</v>
      </c>
      <c r="M154" s="34" t="s">
        <v>378</v>
      </c>
      <c r="N154" s="34"/>
      <c r="O154" s="34" t="s">
        <v>599</v>
      </c>
      <c r="P154" s="34" t="s">
        <v>46</v>
      </c>
      <c r="Q154" s="34" t="s">
        <v>248</v>
      </c>
      <c r="R154" s="34" t="s">
        <v>48</v>
      </c>
      <c r="S154" s="34"/>
      <c r="U154" s="34"/>
      <c r="V154" s="34" t="s">
        <v>249</v>
      </c>
      <c r="W154" s="34">
        <v>2403</v>
      </c>
      <c r="X154" s="34" t="s">
        <v>60</v>
      </c>
      <c r="Y154" s="20" t="s">
        <v>51</v>
      </c>
      <c r="Z154" s="34"/>
      <c r="AA154" s="34"/>
      <c r="AB154" s="55" t="s">
        <v>251</v>
      </c>
      <c r="AC154" s="109">
        <v>45809</v>
      </c>
      <c r="AD154" s="109">
        <v>46023</v>
      </c>
      <c r="AE154" s="34"/>
      <c r="AF154" s="124">
        <f t="shared" si="5"/>
        <v>214</v>
      </c>
      <c r="AG154" s="118" t="s">
        <v>85</v>
      </c>
      <c r="AH154" s="34">
        <v>5000</v>
      </c>
      <c r="AI154" s="34"/>
      <c r="AJ154" s="34"/>
      <c r="AK154" s="40">
        <v>9045</v>
      </c>
      <c r="AL154" s="44">
        <v>75140</v>
      </c>
      <c r="AM154" s="44">
        <f t="shared" si="4"/>
        <v>89185</v>
      </c>
      <c r="AN154" s="25" t="s">
        <v>55</v>
      </c>
    </row>
    <row r="155" spans="1:40" ht="30" customHeight="1">
      <c r="A155" s="161"/>
      <c r="B155" s="17">
        <v>154</v>
      </c>
      <c r="C155" s="89">
        <v>46041</v>
      </c>
      <c r="D155" s="16" t="s">
        <v>824</v>
      </c>
      <c r="E155" s="16" t="s">
        <v>825</v>
      </c>
      <c r="F155" s="16" t="s">
        <v>148</v>
      </c>
      <c r="G155" s="16" t="s">
        <v>71</v>
      </c>
      <c r="H155" s="16" t="s">
        <v>826</v>
      </c>
      <c r="I155" s="16" t="s">
        <v>827</v>
      </c>
      <c r="J155" s="16" t="s">
        <v>126</v>
      </c>
      <c r="K155" s="34" t="s">
        <v>828</v>
      </c>
      <c r="L155" s="34" t="s">
        <v>823</v>
      </c>
      <c r="M155" s="34"/>
      <c r="N155" s="34"/>
      <c r="O155" s="34"/>
      <c r="P155" s="34"/>
      <c r="Q155" s="34" t="s">
        <v>829</v>
      </c>
      <c r="R155" s="34" t="s">
        <v>48</v>
      </c>
      <c r="S155" s="34"/>
      <c r="U155" s="34"/>
      <c r="V155" s="34" t="s">
        <v>830</v>
      </c>
      <c r="W155" s="34">
        <v>7326</v>
      </c>
      <c r="X155" s="34" t="s">
        <v>87</v>
      </c>
      <c r="Y155" s="40" t="s">
        <v>141</v>
      </c>
      <c r="Z155" s="34"/>
      <c r="AA155" s="34"/>
      <c r="AB155" s="34" t="s">
        <v>829</v>
      </c>
      <c r="AC155" s="109">
        <v>45931</v>
      </c>
      <c r="AD155" s="109">
        <v>46023</v>
      </c>
      <c r="AE155" s="34"/>
      <c r="AF155" s="124">
        <f t="shared" si="5"/>
        <v>92</v>
      </c>
      <c r="AG155" s="24" t="s">
        <v>54</v>
      </c>
      <c r="AH155" s="40">
        <v>0</v>
      </c>
      <c r="AI155" s="40"/>
      <c r="AJ155" s="40"/>
      <c r="AK155" s="40">
        <v>5945</v>
      </c>
      <c r="AL155" s="44">
        <v>1038640.9600000001</v>
      </c>
      <c r="AM155" s="44">
        <f t="shared" si="4"/>
        <v>1044585.9600000001</v>
      </c>
      <c r="AN155" s="31" t="s">
        <v>132</v>
      </c>
    </row>
    <row r="156" spans="1:40" ht="30" customHeight="1">
      <c r="A156" s="89">
        <v>46042</v>
      </c>
      <c r="B156" s="17">
        <v>155</v>
      </c>
      <c r="C156" s="89">
        <v>46042</v>
      </c>
      <c r="D156" s="16" t="s">
        <v>831</v>
      </c>
      <c r="E156" s="16" t="s">
        <v>832</v>
      </c>
      <c r="F156" s="49" t="s">
        <v>244</v>
      </c>
      <c r="G156" s="16" t="s">
        <v>71</v>
      </c>
      <c r="H156" s="16" t="s">
        <v>833</v>
      </c>
      <c r="I156" s="16" t="s">
        <v>834</v>
      </c>
      <c r="J156" s="16" t="s">
        <v>126</v>
      </c>
      <c r="K156" s="34" t="s">
        <v>835</v>
      </c>
      <c r="L156" s="34" t="s">
        <v>836</v>
      </c>
      <c r="M156" s="34" t="s">
        <v>378</v>
      </c>
      <c r="N156" s="34"/>
      <c r="O156" s="34" t="s">
        <v>599</v>
      </c>
      <c r="P156" s="34" t="s">
        <v>46</v>
      </c>
      <c r="Q156" s="34" t="s">
        <v>248</v>
      </c>
      <c r="R156" s="34" t="s">
        <v>48</v>
      </c>
      <c r="S156" s="34"/>
      <c r="U156" s="34"/>
      <c r="V156" s="34" t="s">
        <v>249</v>
      </c>
      <c r="W156" s="34">
        <v>6709</v>
      </c>
      <c r="X156" s="34" t="s">
        <v>97</v>
      </c>
      <c r="Y156" s="20" t="s">
        <v>51</v>
      </c>
      <c r="Z156" s="34"/>
      <c r="AA156" s="34"/>
      <c r="AB156" s="55" t="s">
        <v>251</v>
      </c>
      <c r="AC156" s="109">
        <v>45839</v>
      </c>
      <c r="AD156" s="109">
        <v>46023</v>
      </c>
      <c r="AE156" s="34"/>
      <c r="AF156" s="124">
        <f t="shared" si="5"/>
        <v>184</v>
      </c>
      <c r="AG156" s="118" t="s">
        <v>85</v>
      </c>
      <c r="AH156" s="40">
        <v>80000</v>
      </c>
      <c r="AI156" s="40"/>
      <c r="AJ156" s="40"/>
      <c r="AK156" s="40">
        <v>9045</v>
      </c>
      <c r="AL156" s="44">
        <v>75140</v>
      </c>
      <c r="AM156" s="44">
        <f t="shared" si="4"/>
        <v>164185</v>
      </c>
      <c r="AN156" s="25" t="s">
        <v>55</v>
      </c>
    </row>
    <row r="157" spans="1:40" ht="30" customHeight="1">
      <c r="A157" s="89"/>
      <c r="B157" s="17">
        <v>156</v>
      </c>
      <c r="C157" s="89">
        <v>46029</v>
      </c>
      <c r="D157" s="16" t="s">
        <v>837</v>
      </c>
      <c r="E157" s="16" t="s">
        <v>838</v>
      </c>
      <c r="F157" s="49" t="s">
        <v>388</v>
      </c>
      <c r="G157" s="16" t="s">
        <v>71</v>
      </c>
      <c r="H157" s="16" t="s">
        <v>839</v>
      </c>
      <c r="I157" s="16" t="s">
        <v>840</v>
      </c>
      <c r="J157" s="16" t="s">
        <v>841</v>
      </c>
      <c r="K157" s="34" t="s">
        <v>842</v>
      </c>
      <c r="L157" s="34" t="s">
        <v>843</v>
      </c>
      <c r="M157" s="34" t="s">
        <v>378</v>
      </c>
      <c r="N157" s="34" t="s">
        <v>724</v>
      </c>
      <c r="O157" s="34" t="s">
        <v>599</v>
      </c>
      <c r="P157" s="34" t="s">
        <v>46</v>
      </c>
      <c r="Q157" s="34" t="s">
        <v>248</v>
      </c>
      <c r="R157" s="34" t="s">
        <v>48</v>
      </c>
      <c r="S157" s="34"/>
      <c r="U157" s="34"/>
      <c r="V157" s="34" t="s">
        <v>249</v>
      </c>
      <c r="W157" s="34">
        <v>34575</v>
      </c>
      <c r="X157" s="34" t="s">
        <v>844</v>
      </c>
      <c r="Y157" s="20" t="s">
        <v>51</v>
      </c>
      <c r="Z157" s="34"/>
      <c r="AA157" s="34"/>
      <c r="AB157" s="55" t="s">
        <v>251</v>
      </c>
      <c r="AC157" s="109">
        <v>45658</v>
      </c>
      <c r="AD157" s="109">
        <v>46023</v>
      </c>
      <c r="AE157" s="34"/>
      <c r="AF157" s="124">
        <f t="shared" si="5"/>
        <v>365</v>
      </c>
      <c r="AG157" s="110" t="s">
        <v>611</v>
      </c>
      <c r="AH157" s="40">
        <v>80000</v>
      </c>
      <c r="AI157" s="40"/>
      <c r="AJ157" s="40"/>
      <c r="AK157" s="40">
        <v>9045</v>
      </c>
      <c r="AL157" s="44">
        <v>75140</v>
      </c>
      <c r="AM157" s="44">
        <f t="shared" si="4"/>
        <v>164185</v>
      </c>
      <c r="AN157" s="25" t="s">
        <v>55</v>
      </c>
    </row>
    <row r="158" spans="1:40" ht="30" customHeight="1">
      <c r="A158" s="89"/>
      <c r="B158" s="17">
        <v>157</v>
      </c>
      <c r="C158" s="89">
        <v>46034</v>
      </c>
      <c r="D158" s="16" t="s">
        <v>845</v>
      </c>
      <c r="E158" s="16" t="s">
        <v>846</v>
      </c>
      <c r="F158" s="49" t="s">
        <v>61</v>
      </c>
      <c r="G158" s="16" t="s">
        <v>202</v>
      </c>
      <c r="H158" s="16" t="s">
        <v>839</v>
      </c>
      <c r="I158" s="16" t="s">
        <v>847</v>
      </c>
      <c r="J158" s="16" t="s">
        <v>45</v>
      </c>
      <c r="K158" s="34" t="s">
        <v>842</v>
      </c>
      <c r="L158" s="34" t="s">
        <v>848</v>
      </c>
      <c r="M158" s="34" t="s">
        <v>378</v>
      </c>
      <c r="N158" s="34" t="s">
        <v>724</v>
      </c>
      <c r="O158" s="34" t="s">
        <v>599</v>
      </c>
      <c r="P158" s="34" t="s">
        <v>46</v>
      </c>
      <c r="Q158" s="34" t="s">
        <v>248</v>
      </c>
      <c r="R158" s="34" t="s">
        <v>48</v>
      </c>
      <c r="S158" s="34"/>
      <c r="U158" s="34"/>
      <c r="V158" s="34" t="s">
        <v>249</v>
      </c>
      <c r="W158" s="34">
        <v>44323</v>
      </c>
      <c r="X158" s="34" t="s">
        <v>849</v>
      </c>
      <c r="Y158" s="20" t="s">
        <v>51</v>
      </c>
      <c r="Z158" s="34"/>
      <c r="AA158" s="34"/>
      <c r="AB158" s="55" t="s">
        <v>251</v>
      </c>
      <c r="AC158" s="109">
        <v>45597</v>
      </c>
      <c r="AD158" s="109">
        <v>46023</v>
      </c>
      <c r="AE158" s="34"/>
      <c r="AF158" s="124">
        <f t="shared" si="5"/>
        <v>426</v>
      </c>
      <c r="AG158" s="110" t="s">
        <v>611</v>
      </c>
      <c r="AH158" s="34">
        <v>10000</v>
      </c>
      <c r="AI158" s="34"/>
      <c r="AJ158" s="34"/>
      <c r="AK158" s="40">
        <v>9045</v>
      </c>
      <c r="AL158" s="44">
        <v>75140</v>
      </c>
      <c r="AM158" s="44">
        <f t="shared" si="4"/>
        <v>94185</v>
      </c>
      <c r="AN158" s="25" t="s">
        <v>55</v>
      </c>
    </row>
    <row r="159" spans="1:40" ht="30" customHeight="1">
      <c r="A159" s="89"/>
      <c r="B159" s="17">
        <v>158</v>
      </c>
      <c r="C159" s="89">
        <v>46033</v>
      </c>
      <c r="D159" s="16" t="s">
        <v>282</v>
      </c>
      <c r="E159" s="16" t="s">
        <v>283</v>
      </c>
      <c r="F159" s="49" t="s">
        <v>92</v>
      </c>
      <c r="G159" s="16" t="s">
        <v>459</v>
      </c>
      <c r="H159" s="16" t="s">
        <v>839</v>
      </c>
      <c r="I159" s="16" t="s">
        <v>850</v>
      </c>
      <c r="J159" s="16" t="s">
        <v>45</v>
      </c>
      <c r="K159" s="34" t="s">
        <v>842</v>
      </c>
      <c r="L159" s="34" t="s">
        <v>848</v>
      </c>
      <c r="M159" s="34" t="s">
        <v>378</v>
      </c>
      <c r="N159" s="34" t="s">
        <v>724</v>
      </c>
      <c r="O159" s="34" t="s">
        <v>599</v>
      </c>
      <c r="P159" s="34" t="s">
        <v>46</v>
      </c>
      <c r="Q159" s="34" t="s">
        <v>248</v>
      </c>
      <c r="R159" s="34" t="s">
        <v>48</v>
      </c>
      <c r="S159" s="34"/>
      <c r="U159" s="34"/>
      <c r="V159" s="34" t="s">
        <v>249</v>
      </c>
      <c r="W159" s="34">
        <v>16765</v>
      </c>
      <c r="X159" s="34" t="s">
        <v>107</v>
      </c>
      <c r="Y159" s="20" t="s">
        <v>51</v>
      </c>
      <c r="Z159" s="34"/>
      <c r="AA159" s="34"/>
      <c r="AB159" s="55" t="s">
        <v>251</v>
      </c>
      <c r="AC159" s="109">
        <v>45748</v>
      </c>
      <c r="AD159" s="109">
        <v>46023</v>
      </c>
      <c r="AE159" s="34"/>
      <c r="AF159" s="124">
        <f t="shared" si="5"/>
        <v>275</v>
      </c>
      <c r="AG159" s="110" t="s">
        <v>611</v>
      </c>
      <c r="AH159" s="34">
        <v>9000</v>
      </c>
      <c r="AI159" s="34"/>
      <c r="AJ159" s="34"/>
      <c r="AK159" s="40">
        <v>9045</v>
      </c>
      <c r="AL159" s="44">
        <v>75140</v>
      </c>
      <c r="AM159" s="44">
        <f t="shared" si="4"/>
        <v>93185</v>
      </c>
      <c r="AN159" s="25" t="s">
        <v>55</v>
      </c>
    </row>
    <row r="160" spans="1:40" ht="30" customHeight="1">
      <c r="A160" s="89"/>
      <c r="B160" s="17">
        <v>159</v>
      </c>
      <c r="C160" s="89">
        <v>46033</v>
      </c>
      <c r="D160" s="16" t="s">
        <v>851</v>
      </c>
      <c r="E160" s="16" t="s">
        <v>852</v>
      </c>
      <c r="F160" s="49" t="s">
        <v>92</v>
      </c>
      <c r="G160" s="16" t="s">
        <v>459</v>
      </c>
      <c r="H160" s="16" t="s">
        <v>839</v>
      </c>
      <c r="I160" s="16" t="s">
        <v>853</v>
      </c>
      <c r="J160" s="16" t="s">
        <v>841</v>
      </c>
      <c r="K160" s="34" t="s">
        <v>842</v>
      </c>
      <c r="L160" s="34" t="s">
        <v>848</v>
      </c>
      <c r="M160" s="34" t="s">
        <v>378</v>
      </c>
      <c r="N160" s="34" t="s">
        <v>724</v>
      </c>
      <c r="O160" s="34" t="s">
        <v>599</v>
      </c>
      <c r="P160" s="34" t="s">
        <v>46</v>
      </c>
      <c r="Q160" s="34" t="s">
        <v>248</v>
      </c>
      <c r="R160" s="34" t="s">
        <v>48</v>
      </c>
      <c r="S160" s="34"/>
      <c r="U160" s="34"/>
      <c r="V160" s="34" t="s">
        <v>249</v>
      </c>
      <c r="W160" s="34">
        <v>15678</v>
      </c>
      <c r="X160" s="34" t="s">
        <v>107</v>
      </c>
      <c r="Y160" s="20" t="s">
        <v>51</v>
      </c>
      <c r="Z160" s="34"/>
      <c r="AA160" s="34"/>
      <c r="AB160" s="55" t="s">
        <v>251</v>
      </c>
      <c r="AC160" s="109">
        <v>45748</v>
      </c>
      <c r="AD160" s="109">
        <v>46023</v>
      </c>
      <c r="AE160" s="34"/>
      <c r="AF160" s="124">
        <f t="shared" si="5"/>
        <v>275</v>
      </c>
      <c r="AG160" s="110" t="s">
        <v>611</v>
      </c>
      <c r="AH160" s="34">
        <v>1000</v>
      </c>
      <c r="AI160" s="34"/>
      <c r="AJ160" s="34"/>
      <c r="AK160" s="40">
        <v>9045</v>
      </c>
      <c r="AL160" s="44">
        <v>75140</v>
      </c>
      <c r="AM160" s="44">
        <f t="shared" si="4"/>
        <v>85185</v>
      </c>
      <c r="AN160" s="25" t="s">
        <v>55</v>
      </c>
    </row>
    <row r="161" spans="1:40" ht="30" customHeight="1">
      <c r="A161" s="89">
        <v>46043</v>
      </c>
      <c r="B161" s="17">
        <v>160</v>
      </c>
      <c r="C161" s="89">
        <v>46042</v>
      </c>
      <c r="D161" s="16" t="s">
        <v>831</v>
      </c>
      <c r="E161" s="16" t="s">
        <v>832</v>
      </c>
      <c r="F161" s="49" t="s">
        <v>244</v>
      </c>
      <c r="G161" s="16" t="s">
        <v>71</v>
      </c>
      <c r="H161" s="16" t="s">
        <v>854</v>
      </c>
      <c r="I161" s="16" t="s">
        <v>855</v>
      </c>
      <c r="J161" s="16" t="s">
        <v>126</v>
      </c>
      <c r="K161" s="34" t="s">
        <v>835</v>
      </c>
      <c r="L161" s="34" t="s">
        <v>836</v>
      </c>
      <c r="M161" s="34"/>
      <c r="N161" s="34"/>
      <c r="O161" s="34"/>
      <c r="P161" s="34"/>
      <c r="Q161" s="34" t="s">
        <v>248</v>
      </c>
      <c r="R161" s="34" t="s">
        <v>48</v>
      </c>
      <c r="S161" s="34"/>
      <c r="U161" s="34"/>
      <c r="V161" s="34" t="s">
        <v>249</v>
      </c>
      <c r="W161" s="34">
        <v>17598</v>
      </c>
      <c r="X161" s="34" t="s">
        <v>107</v>
      </c>
      <c r="Y161" s="20" t="s">
        <v>51</v>
      </c>
      <c r="Z161" s="34"/>
      <c r="AA161" s="34"/>
      <c r="AB161" s="55" t="s">
        <v>251</v>
      </c>
      <c r="AC161" s="109">
        <v>45748</v>
      </c>
      <c r="AD161" s="109">
        <v>46023</v>
      </c>
      <c r="AE161" s="34"/>
      <c r="AF161" s="124">
        <f t="shared" si="5"/>
        <v>275</v>
      </c>
      <c r="AG161" s="110" t="s">
        <v>611</v>
      </c>
      <c r="AH161" s="40">
        <v>80000</v>
      </c>
      <c r="AI161" s="40"/>
      <c r="AJ161" s="40"/>
      <c r="AK161" s="40">
        <v>9045</v>
      </c>
      <c r="AL161" s="44">
        <v>75140</v>
      </c>
      <c r="AM161" s="44">
        <f t="shared" si="4"/>
        <v>164185</v>
      </c>
      <c r="AN161" s="25" t="s">
        <v>55</v>
      </c>
    </row>
    <row r="162" spans="1:40" ht="30" customHeight="1">
      <c r="A162" s="161">
        <v>46050</v>
      </c>
      <c r="B162" s="17">
        <v>161</v>
      </c>
      <c r="C162" s="89">
        <v>46045</v>
      </c>
      <c r="D162" s="16" t="s">
        <v>856</v>
      </c>
      <c r="E162" s="16" t="s">
        <v>857</v>
      </c>
      <c r="F162" s="16" t="s">
        <v>388</v>
      </c>
      <c r="G162" s="16" t="s">
        <v>71</v>
      </c>
      <c r="H162" s="16" t="s">
        <v>858</v>
      </c>
      <c r="I162" s="16" t="s">
        <v>859</v>
      </c>
      <c r="J162" s="16" t="s">
        <v>45</v>
      </c>
      <c r="K162" s="34" t="s">
        <v>860</v>
      </c>
      <c r="L162" s="34" t="s">
        <v>861</v>
      </c>
      <c r="M162" s="34"/>
      <c r="N162" s="34"/>
      <c r="O162" s="34" t="s">
        <v>599</v>
      </c>
      <c r="P162" s="34" t="s">
        <v>46</v>
      </c>
      <c r="Q162" s="34" t="s">
        <v>248</v>
      </c>
      <c r="R162" s="34" t="s">
        <v>48</v>
      </c>
      <c r="S162" s="34"/>
      <c r="U162" s="34"/>
      <c r="V162" s="34" t="s">
        <v>249</v>
      </c>
      <c r="W162" s="34">
        <v>5688</v>
      </c>
      <c r="X162" s="34" t="s">
        <v>64</v>
      </c>
      <c r="Y162" s="20" t="s">
        <v>51</v>
      </c>
      <c r="Z162" s="34"/>
      <c r="AA162" s="34"/>
      <c r="AB162" s="55" t="s">
        <v>251</v>
      </c>
      <c r="AC162" s="109">
        <v>45809</v>
      </c>
      <c r="AD162" s="109">
        <v>46023</v>
      </c>
      <c r="AE162" s="34"/>
      <c r="AF162" s="124">
        <f t="shared" si="5"/>
        <v>214</v>
      </c>
      <c r="AG162" s="118" t="s">
        <v>85</v>
      </c>
      <c r="AH162" s="40">
        <v>80000</v>
      </c>
      <c r="AI162" s="40"/>
      <c r="AJ162" s="40"/>
      <c r="AK162" s="40">
        <v>9045</v>
      </c>
      <c r="AL162" s="44">
        <v>75140</v>
      </c>
      <c r="AM162" s="44">
        <f t="shared" si="4"/>
        <v>164185</v>
      </c>
      <c r="AN162" s="25" t="s">
        <v>55</v>
      </c>
    </row>
    <row r="163" spans="1:40" ht="30" customHeight="1">
      <c r="A163" s="161"/>
      <c r="B163" s="17">
        <v>162</v>
      </c>
      <c r="C163" s="89">
        <v>46046</v>
      </c>
      <c r="D163" s="16" t="s">
        <v>862</v>
      </c>
      <c r="E163" s="16" t="s">
        <v>863</v>
      </c>
      <c r="F163" s="49" t="s">
        <v>116</v>
      </c>
      <c r="G163" s="16" t="s">
        <v>71</v>
      </c>
      <c r="H163" s="16" t="s">
        <v>864</v>
      </c>
      <c r="I163" s="16" t="s">
        <v>865</v>
      </c>
      <c r="J163" s="16" t="s">
        <v>57</v>
      </c>
      <c r="K163" s="34" t="s">
        <v>866</v>
      </c>
      <c r="L163" s="34" t="s">
        <v>867</v>
      </c>
      <c r="M163" s="34"/>
      <c r="N163" s="34"/>
      <c r="O163" s="34" t="s">
        <v>599</v>
      </c>
      <c r="P163" s="34" t="s">
        <v>46</v>
      </c>
      <c r="Q163" s="34" t="s">
        <v>248</v>
      </c>
      <c r="R163" s="34" t="s">
        <v>48</v>
      </c>
      <c r="S163" s="34"/>
      <c r="U163" s="34"/>
      <c r="V163" s="34" t="s">
        <v>249</v>
      </c>
      <c r="W163" s="34">
        <v>5375</v>
      </c>
      <c r="X163" s="34" t="s">
        <v>64</v>
      </c>
      <c r="Y163" s="20" t="s">
        <v>51</v>
      </c>
      <c r="Z163" s="34"/>
      <c r="AA163" s="34"/>
      <c r="AB163" s="55" t="s">
        <v>251</v>
      </c>
      <c r="AC163" s="109">
        <v>45809</v>
      </c>
      <c r="AD163" s="109">
        <v>46023</v>
      </c>
      <c r="AE163" s="34"/>
      <c r="AF163" s="124">
        <f t="shared" si="5"/>
        <v>214</v>
      </c>
      <c r="AG163" s="118" t="s">
        <v>85</v>
      </c>
      <c r="AH163" s="40">
        <v>80000</v>
      </c>
      <c r="AI163" s="40"/>
      <c r="AJ163" s="40"/>
      <c r="AK163" s="40">
        <v>9045</v>
      </c>
      <c r="AL163" s="44">
        <v>75140</v>
      </c>
      <c r="AM163" s="44">
        <f t="shared" si="4"/>
        <v>164185</v>
      </c>
      <c r="AN163" s="25" t="s">
        <v>55</v>
      </c>
    </row>
    <row r="164" spans="1:40" ht="30" customHeight="1">
      <c r="A164" s="161"/>
      <c r="B164" s="17">
        <v>163</v>
      </c>
      <c r="C164" s="89">
        <v>46046</v>
      </c>
      <c r="D164" s="16" t="s">
        <v>868</v>
      </c>
      <c r="E164" s="16"/>
      <c r="F164" s="16" t="s">
        <v>650</v>
      </c>
      <c r="G164" s="16" t="s">
        <v>589</v>
      </c>
      <c r="H164" s="16"/>
      <c r="I164" s="16" t="s">
        <v>869</v>
      </c>
      <c r="J164" s="16" t="s">
        <v>57</v>
      </c>
      <c r="K164" s="34" t="s">
        <v>870</v>
      </c>
      <c r="L164" s="34"/>
      <c r="M164" s="34"/>
      <c r="N164" s="34"/>
      <c r="O164" s="34" t="s">
        <v>599</v>
      </c>
      <c r="P164" s="34" t="s">
        <v>46</v>
      </c>
      <c r="Q164" s="34" t="s">
        <v>248</v>
      </c>
      <c r="R164" s="34" t="s">
        <v>48</v>
      </c>
      <c r="S164" s="34"/>
      <c r="U164" s="34"/>
      <c r="V164" s="34" t="s">
        <v>249</v>
      </c>
      <c r="W164" s="34">
        <v>2032</v>
      </c>
      <c r="X164" s="34" t="s">
        <v>60</v>
      </c>
      <c r="Y164" s="20" t="s">
        <v>51</v>
      </c>
      <c r="Z164" s="34"/>
      <c r="AA164" s="34"/>
      <c r="AB164" s="55" t="s">
        <v>251</v>
      </c>
      <c r="AC164" s="109">
        <v>45962</v>
      </c>
      <c r="AD164" s="109">
        <v>46023</v>
      </c>
      <c r="AE164" s="34"/>
      <c r="AF164" s="124">
        <f t="shared" si="5"/>
        <v>61</v>
      </c>
      <c r="AG164" s="16" t="s">
        <v>101</v>
      </c>
      <c r="AH164" s="34">
        <v>10960</v>
      </c>
      <c r="AI164" s="34"/>
      <c r="AJ164" s="34"/>
      <c r="AK164" s="40">
        <v>9045</v>
      </c>
      <c r="AL164" s="44">
        <v>75140</v>
      </c>
      <c r="AM164" s="44">
        <f t="shared" si="4"/>
        <v>95145</v>
      </c>
      <c r="AN164" s="25" t="s">
        <v>55</v>
      </c>
    </row>
    <row r="165" spans="1:40" ht="30" customHeight="1">
      <c r="A165" s="161"/>
      <c r="B165" s="17">
        <v>164</v>
      </c>
      <c r="C165" s="89">
        <v>46049</v>
      </c>
      <c r="D165" s="16" t="s">
        <v>871</v>
      </c>
      <c r="E165" s="16" t="s">
        <v>872</v>
      </c>
      <c r="F165" s="49" t="s">
        <v>235</v>
      </c>
      <c r="G165" s="16" t="s">
        <v>71</v>
      </c>
      <c r="H165" s="16" t="s">
        <v>873</v>
      </c>
      <c r="I165" s="16" t="s">
        <v>874</v>
      </c>
      <c r="J165" s="16" t="s">
        <v>45</v>
      </c>
      <c r="K165" s="34" t="s">
        <v>875</v>
      </c>
      <c r="L165" s="34" t="s">
        <v>876</v>
      </c>
      <c r="M165" s="34"/>
      <c r="N165" s="34"/>
      <c r="O165" s="34" t="s">
        <v>207</v>
      </c>
      <c r="P165" s="34" t="s">
        <v>46</v>
      </c>
      <c r="Q165" s="34" t="s">
        <v>701</v>
      </c>
      <c r="R165" s="34" t="s">
        <v>48</v>
      </c>
      <c r="S165" s="34"/>
      <c r="U165" s="34"/>
      <c r="V165" s="34" t="s">
        <v>208</v>
      </c>
      <c r="W165" s="34">
        <v>1328</v>
      </c>
      <c r="X165" s="34" t="s">
        <v>123</v>
      </c>
      <c r="Y165" s="20" t="s">
        <v>51</v>
      </c>
      <c r="Z165" s="34"/>
      <c r="AA165" s="34"/>
      <c r="AB165" s="34" t="s">
        <v>210</v>
      </c>
      <c r="AC165" s="109">
        <v>45839</v>
      </c>
      <c r="AD165" s="109">
        <v>46023</v>
      </c>
      <c r="AE165" s="34"/>
      <c r="AF165" s="124">
        <f t="shared" si="5"/>
        <v>184</v>
      </c>
      <c r="AG165" s="118" t="s">
        <v>85</v>
      </c>
      <c r="AH165" s="40">
        <v>80000</v>
      </c>
      <c r="AI165" s="40"/>
      <c r="AJ165" s="40"/>
      <c r="AK165" s="40">
        <v>9045</v>
      </c>
      <c r="AL165" s="44">
        <v>108782</v>
      </c>
      <c r="AM165" s="44">
        <f t="shared" si="4"/>
        <v>197827</v>
      </c>
      <c r="AN165" s="31" t="s">
        <v>132</v>
      </c>
    </row>
    <row r="166" spans="1:40" ht="30" customHeight="1">
      <c r="A166" s="161">
        <v>46057</v>
      </c>
      <c r="B166" s="17">
        <v>165</v>
      </c>
      <c r="C166" s="89">
        <v>46050</v>
      </c>
      <c r="D166" s="16" t="s">
        <v>877</v>
      </c>
      <c r="E166" s="16" t="s">
        <v>878</v>
      </c>
      <c r="F166" s="16" t="s">
        <v>148</v>
      </c>
      <c r="G166" s="16" t="s">
        <v>71</v>
      </c>
      <c r="H166" s="16" t="s">
        <v>879</v>
      </c>
      <c r="I166" s="16" t="s">
        <v>880</v>
      </c>
      <c r="J166" s="16" t="s">
        <v>57</v>
      </c>
      <c r="K166" s="34" t="s">
        <v>881</v>
      </c>
      <c r="L166" s="34" t="s">
        <v>882</v>
      </c>
      <c r="M166" s="34"/>
      <c r="N166" s="34"/>
      <c r="O166" s="34" t="s">
        <v>599</v>
      </c>
      <c r="P166" s="34" t="s">
        <v>46</v>
      </c>
      <c r="Q166" s="34" t="s">
        <v>248</v>
      </c>
      <c r="R166" s="34" t="s">
        <v>48</v>
      </c>
      <c r="S166" s="34"/>
      <c r="U166" s="34"/>
      <c r="V166" s="34" t="s">
        <v>249</v>
      </c>
      <c r="W166" s="34">
        <v>1340</v>
      </c>
      <c r="X166" s="34" t="s">
        <v>123</v>
      </c>
      <c r="Y166" s="20" t="s">
        <v>51</v>
      </c>
      <c r="Z166" s="34"/>
      <c r="AA166" s="34"/>
      <c r="AB166" s="55" t="s">
        <v>251</v>
      </c>
      <c r="AC166" s="109">
        <v>45717</v>
      </c>
      <c r="AD166" s="109">
        <v>46023</v>
      </c>
      <c r="AE166" s="34"/>
      <c r="AF166" s="124">
        <f t="shared" si="5"/>
        <v>306</v>
      </c>
      <c r="AG166" s="110" t="s">
        <v>611</v>
      </c>
      <c r="AH166" s="40">
        <v>80000</v>
      </c>
      <c r="AI166" s="40"/>
      <c r="AJ166" s="40"/>
      <c r="AK166" s="40">
        <v>9045</v>
      </c>
      <c r="AL166" s="44">
        <v>75140</v>
      </c>
      <c r="AM166" s="44">
        <f t="shared" si="4"/>
        <v>164185</v>
      </c>
      <c r="AN166" s="25" t="s">
        <v>55</v>
      </c>
    </row>
    <row r="167" spans="1:40" ht="30" customHeight="1">
      <c r="A167" s="162"/>
      <c r="B167" s="17">
        <v>166</v>
      </c>
      <c r="C167" s="89">
        <v>46050</v>
      </c>
      <c r="D167" s="16" t="s">
        <v>68</v>
      </c>
      <c r="E167" s="16" t="s">
        <v>883</v>
      </c>
      <c r="F167" s="19" t="s">
        <v>70</v>
      </c>
      <c r="G167" s="16" t="s">
        <v>459</v>
      </c>
      <c r="H167" s="16" t="s">
        <v>884</v>
      </c>
      <c r="I167" s="16" t="s">
        <v>885</v>
      </c>
      <c r="J167" s="16" t="s">
        <v>57</v>
      </c>
      <c r="K167" s="34" t="s">
        <v>886</v>
      </c>
      <c r="L167" s="34" t="s">
        <v>887</v>
      </c>
      <c r="M167" s="34"/>
      <c r="N167" s="34"/>
      <c r="O167" s="34"/>
      <c r="P167" s="34"/>
      <c r="Q167" s="34" t="s">
        <v>888</v>
      </c>
      <c r="R167" s="34" t="s">
        <v>48</v>
      </c>
      <c r="S167" s="34"/>
      <c r="U167" s="34"/>
      <c r="V167" s="34"/>
      <c r="W167" s="34">
        <v>10454</v>
      </c>
      <c r="X167" s="34" t="s">
        <v>67</v>
      </c>
      <c r="Y167" s="34" t="s">
        <v>141</v>
      </c>
      <c r="Z167" s="34"/>
      <c r="AA167" s="34"/>
      <c r="AB167" s="34" t="s">
        <v>889</v>
      </c>
      <c r="AC167" s="109">
        <v>45870</v>
      </c>
      <c r="AD167" s="109">
        <v>46023</v>
      </c>
      <c r="AE167" s="34"/>
      <c r="AF167" s="124">
        <f t="shared" si="5"/>
        <v>153</v>
      </c>
      <c r="AG167" s="24" t="s">
        <v>54</v>
      </c>
      <c r="AH167" s="40">
        <v>0</v>
      </c>
      <c r="AI167" s="40"/>
      <c r="AJ167" s="40"/>
      <c r="AK167" s="40">
        <v>5945</v>
      </c>
      <c r="AL167" s="44">
        <v>1038640.9600000001</v>
      </c>
      <c r="AM167" s="44">
        <f t="shared" si="4"/>
        <v>1044585.9600000001</v>
      </c>
      <c r="AN167" s="25" t="s">
        <v>55</v>
      </c>
    </row>
    <row r="168" spans="1:40" ht="30" customHeight="1">
      <c r="A168" s="162"/>
      <c r="B168" s="17">
        <v>167</v>
      </c>
      <c r="C168" s="89">
        <v>46051</v>
      </c>
      <c r="D168" s="16" t="s">
        <v>890</v>
      </c>
      <c r="E168" s="16" t="s">
        <v>891</v>
      </c>
      <c r="F168" s="16" t="s">
        <v>892</v>
      </c>
      <c r="G168" s="16" t="s">
        <v>43</v>
      </c>
      <c r="H168" s="16" t="s">
        <v>893</v>
      </c>
      <c r="I168" s="16" t="s">
        <v>894</v>
      </c>
      <c r="J168" s="16" t="s">
        <v>57</v>
      </c>
      <c r="K168" s="34" t="s">
        <v>895</v>
      </c>
      <c r="L168" s="34"/>
      <c r="M168" s="34"/>
      <c r="N168" s="34"/>
      <c r="O168" s="34" t="s">
        <v>896</v>
      </c>
      <c r="P168" s="34"/>
      <c r="Q168" s="34" t="s">
        <v>47</v>
      </c>
      <c r="R168" s="34" t="s">
        <v>48</v>
      </c>
      <c r="S168" s="34"/>
      <c r="U168" s="34"/>
      <c r="V168" s="34"/>
      <c r="W168" s="34">
        <v>19464</v>
      </c>
      <c r="X168" s="34" t="s">
        <v>107</v>
      </c>
      <c r="Y168" s="20" t="s">
        <v>51</v>
      </c>
      <c r="Z168" s="34"/>
      <c r="AA168" s="34"/>
      <c r="AB168" s="20" t="s">
        <v>47</v>
      </c>
      <c r="AC168" s="109">
        <v>45689</v>
      </c>
      <c r="AD168" s="109">
        <v>46023</v>
      </c>
      <c r="AE168" s="34"/>
      <c r="AF168" s="124">
        <f t="shared" si="5"/>
        <v>334</v>
      </c>
      <c r="AG168" s="110" t="s">
        <v>611</v>
      </c>
      <c r="AH168" s="34">
        <v>0</v>
      </c>
      <c r="AI168" s="34"/>
      <c r="AJ168" s="34"/>
      <c r="AK168" s="34">
        <v>8945</v>
      </c>
      <c r="AL168" s="50">
        <v>815</v>
      </c>
      <c r="AM168" s="44">
        <f t="shared" si="4"/>
        <v>9760</v>
      </c>
      <c r="AN168" s="25" t="s">
        <v>55</v>
      </c>
    </row>
    <row r="169" spans="1:40" ht="30" customHeight="1">
      <c r="A169" s="161"/>
      <c r="B169" s="17">
        <v>168</v>
      </c>
      <c r="C169" s="89">
        <v>46044.479166666664</v>
      </c>
      <c r="D169" s="16" t="s">
        <v>897</v>
      </c>
      <c r="E169" s="16" t="s">
        <v>519</v>
      </c>
      <c r="F169" s="19" t="s">
        <v>42</v>
      </c>
      <c r="G169" s="16" t="s">
        <v>202</v>
      </c>
      <c r="H169" s="16" t="s">
        <v>898</v>
      </c>
      <c r="I169" s="16" t="s">
        <v>899</v>
      </c>
      <c r="J169" s="16" t="s">
        <v>647</v>
      </c>
      <c r="K169" s="34" t="s">
        <v>842</v>
      </c>
      <c r="L169" s="34" t="s">
        <v>531</v>
      </c>
      <c r="M169" s="34" t="s">
        <v>378</v>
      </c>
      <c r="N169" s="34" t="s">
        <v>724</v>
      </c>
      <c r="O169" s="34" t="s">
        <v>599</v>
      </c>
      <c r="P169" s="34" t="s">
        <v>46</v>
      </c>
      <c r="Q169" s="34" t="s">
        <v>248</v>
      </c>
      <c r="R169" s="34" t="s">
        <v>48</v>
      </c>
      <c r="S169" s="34"/>
      <c r="U169" s="34"/>
      <c r="V169" s="34" t="s">
        <v>249</v>
      </c>
      <c r="W169" s="34">
        <v>19765</v>
      </c>
      <c r="X169" s="34" t="s">
        <v>107</v>
      </c>
      <c r="Y169" s="20" t="s">
        <v>51</v>
      </c>
      <c r="Z169" s="34"/>
      <c r="AA169" s="34"/>
      <c r="AB169" s="55" t="s">
        <v>251</v>
      </c>
      <c r="AC169" s="109">
        <v>45839</v>
      </c>
      <c r="AD169" s="109">
        <v>46023</v>
      </c>
      <c r="AE169" s="34"/>
      <c r="AF169" s="124">
        <f t="shared" si="5"/>
        <v>184</v>
      </c>
      <c r="AG169" s="16" t="s">
        <v>85</v>
      </c>
      <c r="AH169" s="34">
        <v>10000</v>
      </c>
      <c r="AI169" s="34"/>
      <c r="AJ169" s="34"/>
      <c r="AK169" s="40">
        <v>9045</v>
      </c>
      <c r="AL169" s="44">
        <v>75140</v>
      </c>
      <c r="AM169" s="44">
        <f t="shared" si="4"/>
        <v>94185</v>
      </c>
      <c r="AN169" s="25" t="s">
        <v>55</v>
      </c>
    </row>
    <row r="170" spans="1:40" ht="30" customHeight="1">
      <c r="A170" s="161"/>
      <c r="B170" s="17">
        <v>169</v>
      </c>
      <c r="C170" s="89">
        <v>46043</v>
      </c>
      <c r="D170" s="16" t="s">
        <v>900</v>
      </c>
      <c r="E170" s="16" t="s">
        <v>179</v>
      </c>
      <c r="F170" s="19" t="s">
        <v>70</v>
      </c>
      <c r="G170" s="16" t="s">
        <v>202</v>
      </c>
      <c r="H170" s="16" t="s">
        <v>839</v>
      </c>
      <c r="I170" s="16" t="s">
        <v>901</v>
      </c>
      <c r="J170" s="16" t="s">
        <v>841</v>
      </c>
      <c r="K170" s="34" t="s">
        <v>842</v>
      </c>
      <c r="L170" s="34" t="s">
        <v>902</v>
      </c>
      <c r="M170" s="34" t="s">
        <v>378</v>
      </c>
      <c r="N170" s="34" t="s">
        <v>724</v>
      </c>
      <c r="O170" s="34" t="s">
        <v>599</v>
      </c>
      <c r="P170" s="34" t="s">
        <v>46</v>
      </c>
      <c r="Q170" s="34" t="s">
        <v>248</v>
      </c>
      <c r="R170" s="34" t="s">
        <v>48</v>
      </c>
      <c r="S170" s="34"/>
      <c r="U170" s="34"/>
      <c r="V170" s="34" t="s">
        <v>249</v>
      </c>
      <c r="W170" s="34">
        <v>16598</v>
      </c>
      <c r="X170" s="34" t="s">
        <v>107</v>
      </c>
      <c r="Y170" s="20" t="s">
        <v>51</v>
      </c>
      <c r="Z170" s="34"/>
      <c r="AA170" s="34"/>
      <c r="AB170" s="55" t="s">
        <v>251</v>
      </c>
      <c r="AC170" s="109">
        <v>45839</v>
      </c>
      <c r="AD170" s="109">
        <v>46023</v>
      </c>
      <c r="AE170" s="34"/>
      <c r="AF170" s="124">
        <f t="shared" si="5"/>
        <v>184</v>
      </c>
      <c r="AG170" s="16" t="s">
        <v>85</v>
      </c>
      <c r="AH170" s="34">
        <v>11240</v>
      </c>
      <c r="AI170" s="34"/>
      <c r="AJ170" s="34"/>
      <c r="AK170" s="40">
        <v>9045</v>
      </c>
      <c r="AL170" s="44">
        <v>75140</v>
      </c>
      <c r="AM170" s="44">
        <f t="shared" si="4"/>
        <v>95425</v>
      </c>
      <c r="AN170" s="25" t="s">
        <v>55</v>
      </c>
    </row>
    <row r="171" spans="1:40" ht="30" customHeight="1">
      <c r="A171" s="161"/>
      <c r="B171" s="17">
        <v>170</v>
      </c>
      <c r="C171" s="89">
        <v>46043</v>
      </c>
      <c r="D171" s="16" t="s">
        <v>900</v>
      </c>
      <c r="E171" s="16" t="s">
        <v>179</v>
      </c>
      <c r="F171" s="19" t="s">
        <v>70</v>
      </c>
      <c r="G171" s="16" t="s">
        <v>202</v>
      </c>
      <c r="H171" s="16" t="s">
        <v>839</v>
      </c>
      <c r="I171" s="16" t="s">
        <v>903</v>
      </c>
      <c r="J171" s="16" t="s">
        <v>841</v>
      </c>
      <c r="K171" s="34" t="s">
        <v>842</v>
      </c>
      <c r="L171" s="34" t="s">
        <v>902</v>
      </c>
      <c r="M171" s="34" t="s">
        <v>378</v>
      </c>
      <c r="N171" s="34" t="s">
        <v>724</v>
      </c>
      <c r="O171" s="34" t="s">
        <v>599</v>
      </c>
      <c r="P171" s="34" t="s">
        <v>46</v>
      </c>
      <c r="Q171" s="34" t="s">
        <v>248</v>
      </c>
      <c r="R171" s="34" t="s">
        <v>48</v>
      </c>
      <c r="S171" s="34"/>
      <c r="U171" s="34"/>
      <c r="V171" s="34" t="s">
        <v>249</v>
      </c>
      <c r="W171" s="34">
        <v>17775</v>
      </c>
      <c r="X171" s="34" t="s">
        <v>107</v>
      </c>
      <c r="Y171" s="20" t="s">
        <v>51</v>
      </c>
      <c r="Z171" s="34"/>
      <c r="AA171" s="34"/>
      <c r="AB171" s="55" t="s">
        <v>251</v>
      </c>
      <c r="AC171" s="109">
        <v>45778</v>
      </c>
      <c r="AD171" s="109">
        <v>46023</v>
      </c>
      <c r="AE171" s="34"/>
      <c r="AF171" s="124">
        <f t="shared" si="5"/>
        <v>245</v>
      </c>
      <c r="AG171" s="16" t="s">
        <v>85</v>
      </c>
      <c r="AH171" s="34">
        <v>11240</v>
      </c>
      <c r="AI171" s="34"/>
      <c r="AJ171" s="34"/>
      <c r="AK171" s="40">
        <v>9045</v>
      </c>
      <c r="AL171" s="44">
        <v>75140</v>
      </c>
      <c r="AM171" s="44">
        <f t="shared" si="4"/>
        <v>95425</v>
      </c>
      <c r="AN171" s="25" t="s">
        <v>55</v>
      </c>
    </row>
    <row r="172" spans="1:40" ht="30" customHeight="1">
      <c r="A172" s="161"/>
      <c r="B172" s="17">
        <v>171</v>
      </c>
      <c r="C172" s="89">
        <v>46043</v>
      </c>
      <c r="D172" s="16" t="s">
        <v>904</v>
      </c>
      <c r="E172" s="16" t="s">
        <v>905</v>
      </c>
      <c r="F172" s="19" t="s">
        <v>42</v>
      </c>
      <c r="G172" s="16" t="s">
        <v>202</v>
      </c>
      <c r="H172" s="16" t="s">
        <v>839</v>
      </c>
      <c r="I172" s="16" t="s">
        <v>906</v>
      </c>
      <c r="J172" s="16" t="s">
        <v>841</v>
      </c>
      <c r="K172" s="34" t="s">
        <v>842</v>
      </c>
      <c r="L172" s="34" t="s">
        <v>902</v>
      </c>
      <c r="M172" s="34" t="s">
        <v>378</v>
      </c>
      <c r="N172" s="34" t="s">
        <v>724</v>
      </c>
      <c r="O172" s="34" t="s">
        <v>599</v>
      </c>
      <c r="P172" s="34" t="s">
        <v>46</v>
      </c>
      <c r="Q172" s="34" t="s">
        <v>248</v>
      </c>
      <c r="R172" s="34" t="s">
        <v>48</v>
      </c>
      <c r="S172" s="34"/>
      <c r="U172" s="34"/>
      <c r="V172" s="34" t="s">
        <v>249</v>
      </c>
      <c r="W172" s="34">
        <v>33459</v>
      </c>
      <c r="X172" s="34" t="s">
        <v>844</v>
      </c>
      <c r="Y172" s="20" t="s">
        <v>51</v>
      </c>
      <c r="Z172" s="34"/>
      <c r="AA172" s="34"/>
      <c r="AB172" s="55" t="s">
        <v>251</v>
      </c>
      <c r="AC172" s="109">
        <v>45689</v>
      </c>
      <c r="AD172" s="109">
        <v>46023</v>
      </c>
      <c r="AE172" s="34"/>
      <c r="AF172" s="124">
        <f t="shared" si="5"/>
        <v>334</v>
      </c>
      <c r="AG172" s="110" t="s">
        <v>611</v>
      </c>
      <c r="AH172" s="34">
        <v>10000</v>
      </c>
      <c r="AI172" s="34"/>
      <c r="AJ172" s="34"/>
      <c r="AK172" s="40">
        <v>9045</v>
      </c>
      <c r="AL172" s="44">
        <v>75140</v>
      </c>
      <c r="AM172" s="44">
        <f t="shared" si="4"/>
        <v>94185</v>
      </c>
      <c r="AN172" s="25" t="s">
        <v>55</v>
      </c>
    </row>
    <row r="173" spans="1:40" ht="30" customHeight="1">
      <c r="A173" s="161"/>
      <c r="B173" s="17">
        <v>172</v>
      </c>
      <c r="C173" s="89">
        <v>46043</v>
      </c>
      <c r="D173" s="16" t="s">
        <v>907</v>
      </c>
      <c r="E173" s="16" t="s">
        <v>908</v>
      </c>
      <c r="F173" s="19" t="s">
        <v>70</v>
      </c>
      <c r="G173" s="16" t="s">
        <v>202</v>
      </c>
      <c r="H173" s="16" t="s">
        <v>839</v>
      </c>
      <c r="I173" s="16" t="s">
        <v>909</v>
      </c>
      <c r="J173" s="16" t="s">
        <v>841</v>
      </c>
      <c r="K173" s="34" t="s">
        <v>842</v>
      </c>
      <c r="L173" s="34" t="s">
        <v>902</v>
      </c>
      <c r="M173" s="34" t="s">
        <v>378</v>
      </c>
      <c r="N173" s="34" t="s">
        <v>724</v>
      </c>
      <c r="O173" s="34" t="s">
        <v>599</v>
      </c>
      <c r="P173" s="34" t="s">
        <v>46</v>
      </c>
      <c r="Q173" s="34" t="s">
        <v>248</v>
      </c>
      <c r="R173" s="34" t="s">
        <v>48</v>
      </c>
      <c r="S173" s="34"/>
      <c r="U173" s="34"/>
      <c r="V173" s="34" t="s">
        <v>249</v>
      </c>
      <c r="W173" s="34">
        <v>31946</v>
      </c>
      <c r="X173" s="34" t="s">
        <v>844</v>
      </c>
      <c r="Y173" s="20" t="s">
        <v>51</v>
      </c>
      <c r="Z173" s="34"/>
      <c r="AA173" s="34"/>
      <c r="AB173" s="55" t="s">
        <v>251</v>
      </c>
      <c r="AC173" s="109">
        <v>45748</v>
      </c>
      <c r="AD173" s="109">
        <v>46023</v>
      </c>
      <c r="AE173" s="34"/>
      <c r="AF173" s="124">
        <f t="shared" si="5"/>
        <v>275</v>
      </c>
      <c r="AG173" s="110" t="s">
        <v>611</v>
      </c>
      <c r="AH173" s="34">
        <v>18880</v>
      </c>
      <c r="AI173" s="34"/>
      <c r="AJ173" s="34"/>
      <c r="AK173" s="40">
        <v>9045</v>
      </c>
      <c r="AL173" s="44">
        <v>75140</v>
      </c>
      <c r="AM173" s="44">
        <f t="shared" si="4"/>
        <v>103065</v>
      </c>
      <c r="AN173" s="25" t="s">
        <v>55</v>
      </c>
    </row>
    <row r="174" spans="1:40" ht="30" customHeight="1">
      <c r="A174" s="161"/>
      <c r="B174" s="17">
        <v>173</v>
      </c>
      <c r="C174" s="89">
        <v>46052</v>
      </c>
      <c r="D174" s="16" t="s">
        <v>910</v>
      </c>
      <c r="E174" s="16" t="s">
        <v>911</v>
      </c>
      <c r="F174" s="19" t="s">
        <v>70</v>
      </c>
      <c r="G174" s="16" t="s">
        <v>202</v>
      </c>
      <c r="H174" s="16" t="s">
        <v>839</v>
      </c>
      <c r="I174" s="16" t="s">
        <v>912</v>
      </c>
      <c r="J174" s="16" t="s">
        <v>841</v>
      </c>
      <c r="K174" s="34" t="s">
        <v>842</v>
      </c>
      <c r="L174" s="34" t="s">
        <v>902</v>
      </c>
      <c r="M174" s="34" t="s">
        <v>378</v>
      </c>
      <c r="N174" s="34" t="s">
        <v>724</v>
      </c>
      <c r="O174" s="34" t="s">
        <v>599</v>
      </c>
      <c r="P174" s="34" t="s">
        <v>46</v>
      </c>
      <c r="Q174" s="34" t="s">
        <v>248</v>
      </c>
      <c r="R174" s="34" t="s">
        <v>48</v>
      </c>
      <c r="S174" s="34"/>
      <c r="U174" s="34"/>
      <c r="V174" s="34" t="s">
        <v>249</v>
      </c>
      <c r="W174" s="34">
        <v>27689</v>
      </c>
      <c r="X174" s="34" t="s">
        <v>534</v>
      </c>
      <c r="Y174" s="20" t="s">
        <v>51</v>
      </c>
      <c r="Z174" s="34"/>
      <c r="AA174" s="34"/>
      <c r="AB174" s="55" t="s">
        <v>251</v>
      </c>
      <c r="AC174" s="109">
        <v>45839</v>
      </c>
      <c r="AD174" s="109">
        <v>46023</v>
      </c>
      <c r="AE174" s="34"/>
      <c r="AF174" s="124">
        <f t="shared" si="5"/>
        <v>184</v>
      </c>
      <c r="AG174" s="16" t="s">
        <v>85</v>
      </c>
      <c r="AH174" s="34">
        <v>28080</v>
      </c>
      <c r="AI174" s="34"/>
      <c r="AJ174" s="34"/>
      <c r="AK174" s="40">
        <v>9045</v>
      </c>
      <c r="AL174" s="44">
        <v>75140</v>
      </c>
      <c r="AM174" s="44">
        <f t="shared" si="4"/>
        <v>112265</v>
      </c>
      <c r="AN174" s="25" t="s">
        <v>55</v>
      </c>
    </row>
    <row r="175" spans="1:40" ht="30" customHeight="1">
      <c r="A175" s="161"/>
      <c r="B175" s="17">
        <v>174</v>
      </c>
      <c r="C175" s="89">
        <v>46050</v>
      </c>
      <c r="D175" s="16" t="s">
        <v>900</v>
      </c>
      <c r="E175" s="16" t="s">
        <v>179</v>
      </c>
      <c r="F175" s="19" t="s">
        <v>70</v>
      </c>
      <c r="G175" s="16" t="s">
        <v>202</v>
      </c>
      <c r="H175" s="16" t="s">
        <v>839</v>
      </c>
      <c r="I175" s="16" t="s">
        <v>913</v>
      </c>
      <c r="J175" s="16" t="s">
        <v>841</v>
      </c>
      <c r="K175" s="34" t="s">
        <v>842</v>
      </c>
      <c r="L175" s="34" t="s">
        <v>902</v>
      </c>
      <c r="M175" s="34" t="s">
        <v>378</v>
      </c>
      <c r="N175" s="34" t="s">
        <v>724</v>
      </c>
      <c r="O175" s="34" t="s">
        <v>599</v>
      </c>
      <c r="P175" s="34" t="s">
        <v>46</v>
      </c>
      <c r="Q175" s="34" t="s">
        <v>248</v>
      </c>
      <c r="R175" s="34" t="s">
        <v>48</v>
      </c>
      <c r="S175" s="34"/>
      <c r="U175" s="34"/>
      <c r="V175" s="34" t="s">
        <v>249</v>
      </c>
      <c r="W175" s="34">
        <v>25643</v>
      </c>
      <c r="X175" s="34" t="s">
        <v>534</v>
      </c>
      <c r="Y175" s="20" t="s">
        <v>51</v>
      </c>
      <c r="Z175" s="34"/>
      <c r="AA175" s="34"/>
      <c r="AB175" s="55" t="s">
        <v>251</v>
      </c>
      <c r="AC175" s="109">
        <v>45689</v>
      </c>
      <c r="AD175" s="109">
        <v>46023</v>
      </c>
      <c r="AE175" s="34"/>
      <c r="AF175" s="124">
        <f t="shared" si="5"/>
        <v>334</v>
      </c>
      <c r="AG175" s="110" t="s">
        <v>611</v>
      </c>
      <c r="AH175" s="34">
        <v>11240</v>
      </c>
      <c r="AI175" s="34"/>
      <c r="AJ175" s="34"/>
      <c r="AK175" s="40">
        <v>9045</v>
      </c>
      <c r="AL175" s="44">
        <v>75140</v>
      </c>
      <c r="AM175" s="44">
        <f t="shared" si="4"/>
        <v>95425</v>
      </c>
      <c r="AN175" s="25" t="s">
        <v>55</v>
      </c>
    </row>
    <row r="176" spans="1:40" ht="30" customHeight="1">
      <c r="A176" s="161"/>
      <c r="B176" s="17">
        <v>175</v>
      </c>
      <c r="C176" s="89">
        <v>46045</v>
      </c>
      <c r="D176" s="16" t="s">
        <v>871</v>
      </c>
      <c r="E176" s="16" t="s">
        <v>914</v>
      </c>
      <c r="F176" s="19" t="s">
        <v>235</v>
      </c>
      <c r="G176" s="16" t="s">
        <v>71</v>
      </c>
      <c r="H176" s="16" t="s">
        <v>839</v>
      </c>
      <c r="I176" s="16" t="s">
        <v>915</v>
      </c>
      <c r="J176" s="16" t="s">
        <v>841</v>
      </c>
      <c r="K176" s="34" t="s">
        <v>842</v>
      </c>
      <c r="L176" s="34" t="s">
        <v>843</v>
      </c>
      <c r="M176" s="34" t="s">
        <v>378</v>
      </c>
      <c r="N176" s="34" t="s">
        <v>724</v>
      </c>
      <c r="O176" s="34" t="s">
        <v>599</v>
      </c>
      <c r="P176" s="34" t="s">
        <v>46</v>
      </c>
      <c r="Q176" s="34" t="s">
        <v>248</v>
      </c>
      <c r="R176" s="34" t="s">
        <v>48</v>
      </c>
      <c r="S176" s="34"/>
      <c r="U176" s="34"/>
      <c r="V176" s="34" t="s">
        <v>249</v>
      </c>
      <c r="W176" s="34">
        <v>29987</v>
      </c>
      <c r="X176" s="34" t="s">
        <v>534</v>
      </c>
      <c r="Y176" s="20" t="s">
        <v>51</v>
      </c>
      <c r="Z176" s="34"/>
      <c r="AA176" s="34"/>
      <c r="AB176" s="55" t="s">
        <v>251</v>
      </c>
      <c r="AC176" s="109">
        <v>45778</v>
      </c>
      <c r="AD176" s="109">
        <v>46023</v>
      </c>
      <c r="AE176" s="34"/>
      <c r="AF176" s="124">
        <f t="shared" si="5"/>
        <v>245</v>
      </c>
      <c r="AG176" s="16" t="s">
        <v>85</v>
      </c>
      <c r="AH176" s="40">
        <v>80000</v>
      </c>
      <c r="AI176" s="40"/>
      <c r="AJ176" s="40"/>
      <c r="AK176" s="40">
        <v>9045</v>
      </c>
      <c r="AL176" s="44">
        <v>75140</v>
      </c>
      <c r="AM176" s="44">
        <f t="shared" si="4"/>
        <v>164185</v>
      </c>
      <c r="AN176" s="25" t="s">
        <v>55</v>
      </c>
    </row>
    <row r="177" spans="1:40" ht="30" customHeight="1">
      <c r="A177" s="161"/>
      <c r="B177" s="17">
        <v>176</v>
      </c>
      <c r="C177" s="89">
        <v>46046</v>
      </c>
      <c r="D177" s="16" t="s">
        <v>916</v>
      </c>
      <c r="E177" s="16" t="s">
        <v>917</v>
      </c>
      <c r="F177" s="19" t="s">
        <v>116</v>
      </c>
      <c r="G177" s="16" t="s">
        <v>71</v>
      </c>
      <c r="H177" s="16" t="s">
        <v>839</v>
      </c>
      <c r="I177" s="16" t="s">
        <v>918</v>
      </c>
      <c r="J177" s="16" t="s">
        <v>841</v>
      </c>
      <c r="K177" s="34" t="s">
        <v>842</v>
      </c>
      <c r="L177" s="34" t="s">
        <v>843</v>
      </c>
      <c r="M177" s="34" t="s">
        <v>378</v>
      </c>
      <c r="N177" s="34" t="s">
        <v>724</v>
      </c>
      <c r="O177" s="34" t="s">
        <v>599</v>
      </c>
      <c r="P177" s="34" t="s">
        <v>46</v>
      </c>
      <c r="Q177" s="34" t="s">
        <v>248</v>
      </c>
      <c r="R177" s="34" t="s">
        <v>48</v>
      </c>
      <c r="S177" s="34"/>
      <c r="U177" s="34"/>
      <c r="V177" s="34" t="s">
        <v>249</v>
      </c>
      <c r="W177" s="34">
        <v>27760</v>
      </c>
      <c r="X177" s="34" t="s">
        <v>534</v>
      </c>
      <c r="Y177" s="20" t="s">
        <v>51</v>
      </c>
      <c r="Z177" s="34"/>
      <c r="AA177" s="34"/>
      <c r="AB177" s="55" t="s">
        <v>251</v>
      </c>
      <c r="AC177" s="109">
        <v>45809</v>
      </c>
      <c r="AD177" s="109">
        <v>46023</v>
      </c>
      <c r="AE177" s="34"/>
      <c r="AF177" s="124">
        <f t="shared" si="5"/>
        <v>214</v>
      </c>
      <c r="AG177" s="16" t="s">
        <v>85</v>
      </c>
      <c r="AH177" s="40">
        <v>80000</v>
      </c>
      <c r="AI177" s="40"/>
      <c r="AJ177" s="40"/>
      <c r="AK177" s="40">
        <v>9045</v>
      </c>
      <c r="AL177" s="44">
        <v>75140</v>
      </c>
      <c r="AM177" s="44">
        <f t="shared" si="4"/>
        <v>164185</v>
      </c>
      <c r="AN177" s="25" t="s">
        <v>55</v>
      </c>
    </row>
    <row r="178" spans="1:40" ht="30" customHeight="1">
      <c r="A178" s="161"/>
      <c r="B178" s="17">
        <v>177</v>
      </c>
      <c r="C178" s="89">
        <v>46050</v>
      </c>
      <c r="D178" s="16" t="s">
        <v>919</v>
      </c>
      <c r="E178" s="16" t="s">
        <v>914</v>
      </c>
      <c r="F178" s="19" t="s">
        <v>235</v>
      </c>
      <c r="G178" s="16" t="s">
        <v>71</v>
      </c>
      <c r="H178" s="16" t="s">
        <v>839</v>
      </c>
      <c r="I178" s="16" t="s">
        <v>920</v>
      </c>
      <c r="J178" s="16" t="s">
        <v>45</v>
      </c>
      <c r="K178" s="34" t="s">
        <v>842</v>
      </c>
      <c r="L178" s="34" t="s">
        <v>843</v>
      </c>
      <c r="M178" s="34" t="s">
        <v>378</v>
      </c>
      <c r="N178" s="34" t="s">
        <v>724</v>
      </c>
      <c r="O178" s="34" t="s">
        <v>599</v>
      </c>
      <c r="P178" s="34" t="s">
        <v>46</v>
      </c>
      <c r="Q178" s="34" t="s">
        <v>248</v>
      </c>
      <c r="R178" s="34" t="s">
        <v>48</v>
      </c>
      <c r="S178" s="34"/>
      <c r="U178" s="34"/>
      <c r="V178" s="34" t="s">
        <v>249</v>
      </c>
      <c r="W178" s="34">
        <v>34771</v>
      </c>
      <c r="X178" s="34" t="s">
        <v>844</v>
      </c>
      <c r="Y178" s="20" t="s">
        <v>51</v>
      </c>
      <c r="Z178" s="34"/>
      <c r="AA178" s="34"/>
      <c r="AB178" s="55" t="s">
        <v>251</v>
      </c>
      <c r="AC178" s="109">
        <v>45689</v>
      </c>
      <c r="AD178" s="109">
        <v>46023</v>
      </c>
      <c r="AE178" s="34"/>
      <c r="AF178" s="124">
        <f t="shared" si="5"/>
        <v>334</v>
      </c>
      <c r="AG178" s="110" t="s">
        <v>611</v>
      </c>
      <c r="AH178" s="40">
        <v>80000</v>
      </c>
      <c r="AI178" s="40"/>
      <c r="AJ178" s="40"/>
      <c r="AK178" s="40">
        <v>9045</v>
      </c>
      <c r="AL178" s="44">
        <v>75140</v>
      </c>
      <c r="AM178" s="44">
        <f t="shared" si="4"/>
        <v>164185</v>
      </c>
      <c r="AN178" s="25" t="s">
        <v>55</v>
      </c>
    </row>
    <row r="179" spans="1:40" ht="30" customHeight="1">
      <c r="A179" s="162"/>
      <c r="B179" s="17">
        <v>178</v>
      </c>
      <c r="C179" s="89">
        <v>46054</v>
      </c>
      <c r="D179" s="16" t="s">
        <v>921</v>
      </c>
      <c r="E179" s="16" t="s">
        <v>922</v>
      </c>
      <c r="F179" s="16" t="s">
        <v>388</v>
      </c>
      <c r="G179" s="16" t="s">
        <v>71</v>
      </c>
      <c r="H179" s="16" t="s">
        <v>923</v>
      </c>
      <c r="I179" s="16" t="s">
        <v>924</v>
      </c>
      <c r="J179" s="16" t="s">
        <v>841</v>
      </c>
      <c r="K179" s="34" t="s">
        <v>842</v>
      </c>
      <c r="L179" s="34" t="s">
        <v>577</v>
      </c>
      <c r="M179" s="34" t="s">
        <v>378</v>
      </c>
      <c r="N179" s="34" t="s">
        <v>724</v>
      </c>
      <c r="O179" s="34" t="s">
        <v>599</v>
      </c>
      <c r="P179" s="34" t="s">
        <v>46</v>
      </c>
      <c r="Q179" s="34" t="s">
        <v>248</v>
      </c>
      <c r="R179" s="34" t="s">
        <v>48</v>
      </c>
      <c r="S179" s="34"/>
      <c r="U179" s="34"/>
      <c r="V179" s="34" t="s">
        <v>249</v>
      </c>
      <c r="W179" s="34">
        <v>7481</v>
      </c>
      <c r="X179" s="34" t="s">
        <v>87</v>
      </c>
      <c r="Y179" s="20" t="s">
        <v>51</v>
      </c>
      <c r="Z179" s="34"/>
      <c r="AA179" s="34"/>
      <c r="AB179" s="55" t="s">
        <v>251</v>
      </c>
      <c r="AC179" s="109">
        <v>45778</v>
      </c>
      <c r="AD179" s="109">
        <v>46054</v>
      </c>
      <c r="AE179" s="34"/>
      <c r="AF179" s="124">
        <f t="shared" si="5"/>
        <v>276</v>
      </c>
      <c r="AG179" s="110" t="s">
        <v>611</v>
      </c>
      <c r="AH179" s="40">
        <v>80000</v>
      </c>
      <c r="AI179" s="40"/>
      <c r="AJ179" s="40"/>
      <c r="AK179" s="40">
        <v>9045</v>
      </c>
      <c r="AL179" s="44">
        <v>75140</v>
      </c>
      <c r="AM179" s="44">
        <f t="shared" si="4"/>
        <v>164185</v>
      </c>
      <c r="AN179" s="25" t="s">
        <v>55</v>
      </c>
    </row>
    <row r="180" spans="1:40" ht="30" customHeight="1">
      <c r="A180" s="162"/>
      <c r="B180" s="17">
        <v>179</v>
      </c>
      <c r="C180" s="89">
        <v>46054</v>
      </c>
      <c r="D180" s="16" t="s">
        <v>925</v>
      </c>
      <c r="E180" s="16" t="s">
        <v>334</v>
      </c>
      <c r="F180" s="19" t="s">
        <v>70</v>
      </c>
      <c r="G180" s="16" t="s">
        <v>202</v>
      </c>
      <c r="H180" s="16"/>
      <c r="I180" s="16" t="s">
        <v>926</v>
      </c>
      <c r="J180" s="16" t="s">
        <v>57</v>
      </c>
      <c r="K180" s="34" t="s">
        <v>927</v>
      </c>
      <c r="L180" s="34" t="s">
        <v>928</v>
      </c>
      <c r="M180" s="34" t="s">
        <v>378</v>
      </c>
      <c r="N180" s="34" t="s">
        <v>724</v>
      </c>
      <c r="O180" s="34" t="s">
        <v>599</v>
      </c>
      <c r="P180" s="34" t="s">
        <v>46</v>
      </c>
      <c r="Q180" s="34" t="s">
        <v>248</v>
      </c>
      <c r="R180" s="34" t="s">
        <v>48</v>
      </c>
      <c r="S180" s="34"/>
      <c r="U180" s="34"/>
      <c r="V180" s="34" t="s">
        <v>249</v>
      </c>
      <c r="W180" s="34">
        <v>18554</v>
      </c>
      <c r="X180" s="34" t="s">
        <v>107</v>
      </c>
      <c r="Y180" s="34" t="s">
        <v>929</v>
      </c>
      <c r="Z180" s="34"/>
      <c r="AA180" s="34"/>
      <c r="AB180" s="55" t="s">
        <v>251</v>
      </c>
      <c r="AC180" s="109">
        <v>45931</v>
      </c>
      <c r="AD180" s="109">
        <v>46054</v>
      </c>
      <c r="AE180" s="34"/>
      <c r="AF180" s="124">
        <f t="shared" si="5"/>
        <v>123</v>
      </c>
      <c r="AG180" s="24" t="s">
        <v>54</v>
      </c>
      <c r="AH180" s="34">
        <v>29080</v>
      </c>
      <c r="AI180" s="34"/>
      <c r="AJ180" s="34"/>
      <c r="AK180" s="40">
        <v>9045</v>
      </c>
      <c r="AL180" s="44">
        <v>75140</v>
      </c>
      <c r="AM180" s="44">
        <f t="shared" si="4"/>
        <v>113265</v>
      </c>
      <c r="AN180" s="25" t="s">
        <v>55</v>
      </c>
    </row>
    <row r="181" spans="1:40" ht="30" customHeight="1">
      <c r="A181" s="162"/>
      <c r="B181" s="17">
        <v>180</v>
      </c>
      <c r="C181" s="89">
        <v>46055</v>
      </c>
      <c r="D181" s="16" t="s">
        <v>930</v>
      </c>
      <c r="E181" s="16" t="s">
        <v>931</v>
      </c>
      <c r="F181" s="16" t="s">
        <v>148</v>
      </c>
      <c r="G181" s="16" t="s">
        <v>71</v>
      </c>
      <c r="H181" s="16" t="s">
        <v>932</v>
      </c>
      <c r="I181" s="16" t="s">
        <v>933</v>
      </c>
      <c r="J181" s="16" t="s">
        <v>57</v>
      </c>
      <c r="K181" s="34" t="s">
        <v>934</v>
      </c>
      <c r="L181" s="34" t="s">
        <v>935</v>
      </c>
      <c r="M181" s="34" t="s">
        <v>378</v>
      </c>
      <c r="N181" s="34" t="s">
        <v>724</v>
      </c>
      <c r="O181" s="34" t="s">
        <v>599</v>
      </c>
      <c r="P181" s="34" t="s">
        <v>46</v>
      </c>
      <c r="Q181" s="34" t="s">
        <v>248</v>
      </c>
      <c r="R181" s="34" t="s">
        <v>48</v>
      </c>
      <c r="S181" s="34"/>
      <c r="U181" s="34"/>
      <c r="V181" s="34" t="s">
        <v>249</v>
      </c>
      <c r="W181" s="34">
        <v>21209</v>
      </c>
      <c r="X181" s="34" t="s">
        <v>708</v>
      </c>
      <c r="Y181" s="34" t="s">
        <v>929</v>
      </c>
      <c r="Z181" s="34"/>
      <c r="AA181" s="34"/>
      <c r="AB181" s="55" t="s">
        <v>251</v>
      </c>
      <c r="AC181" s="109">
        <v>45778</v>
      </c>
      <c r="AD181" s="109">
        <v>46054</v>
      </c>
      <c r="AE181" s="34"/>
      <c r="AF181" s="124">
        <f t="shared" si="5"/>
        <v>276</v>
      </c>
      <c r="AG181" s="110" t="s">
        <v>611</v>
      </c>
      <c r="AH181" s="40">
        <v>80000</v>
      </c>
      <c r="AI181" s="40"/>
      <c r="AJ181" s="40"/>
      <c r="AK181" s="40">
        <v>9045</v>
      </c>
      <c r="AL181" s="44">
        <v>75140</v>
      </c>
      <c r="AM181" s="44">
        <f t="shared" si="4"/>
        <v>164185</v>
      </c>
      <c r="AN181" s="25" t="s">
        <v>55</v>
      </c>
    </row>
    <row r="182" spans="1:40" ht="30" customHeight="1">
      <c r="A182" s="162"/>
      <c r="B182" s="17">
        <v>181</v>
      </c>
      <c r="C182" s="89">
        <v>46056</v>
      </c>
      <c r="D182" s="16" t="s">
        <v>936</v>
      </c>
      <c r="E182" s="16" t="s">
        <v>937</v>
      </c>
      <c r="F182" s="19" t="s">
        <v>92</v>
      </c>
      <c r="G182" s="16" t="s">
        <v>459</v>
      </c>
      <c r="H182" s="16" t="s">
        <v>938</v>
      </c>
      <c r="I182" s="16" t="s">
        <v>939</v>
      </c>
      <c r="J182" s="16" t="s">
        <v>45</v>
      </c>
      <c r="K182" s="34" t="s">
        <v>940</v>
      </c>
      <c r="L182" s="34" t="s">
        <v>941</v>
      </c>
      <c r="M182" s="34" t="s">
        <v>378</v>
      </c>
      <c r="N182" s="34" t="s">
        <v>724</v>
      </c>
      <c r="O182" s="34" t="s">
        <v>599</v>
      </c>
      <c r="P182" s="34" t="s">
        <v>46</v>
      </c>
      <c r="Q182" s="34" t="s">
        <v>248</v>
      </c>
      <c r="R182" s="34" t="s">
        <v>48</v>
      </c>
      <c r="S182" s="34"/>
      <c r="U182" s="34"/>
      <c r="V182" s="34" t="s">
        <v>249</v>
      </c>
      <c r="W182" s="34">
        <v>26599</v>
      </c>
      <c r="X182" s="34" t="s">
        <v>534</v>
      </c>
      <c r="Y182" s="34" t="s">
        <v>929</v>
      </c>
      <c r="Z182" s="34"/>
      <c r="AA182" s="34"/>
      <c r="AB182" s="55" t="s">
        <v>251</v>
      </c>
      <c r="AC182" s="109">
        <v>45778</v>
      </c>
      <c r="AD182" s="109">
        <v>46054</v>
      </c>
      <c r="AE182" s="34"/>
      <c r="AF182" s="124">
        <f t="shared" si="5"/>
        <v>276</v>
      </c>
      <c r="AG182" s="110" t="s">
        <v>611</v>
      </c>
      <c r="AH182" s="34">
        <v>10400</v>
      </c>
      <c r="AI182" s="34"/>
      <c r="AJ182" s="34"/>
      <c r="AK182" s="40">
        <v>9045</v>
      </c>
      <c r="AL182" s="44">
        <v>75140</v>
      </c>
      <c r="AM182" s="44">
        <f t="shared" si="4"/>
        <v>94585</v>
      </c>
      <c r="AN182" s="25" t="s">
        <v>55</v>
      </c>
    </row>
    <row r="183" spans="1:40" ht="30" customHeight="1">
      <c r="A183" s="162"/>
      <c r="B183" s="17">
        <v>182</v>
      </c>
      <c r="C183" s="89">
        <v>46056</v>
      </c>
      <c r="D183" s="16" t="s">
        <v>831</v>
      </c>
      <c r="E183" s="16" t="s">
        <v>832</v>
      </c>
      <c r="F183" s="49" t="s">
        <v>244</v>
      </c>
      <c r="G183" s="16" t="s">
        <v>71</v>
      </c>
      <c r="H183" s="16" t="s">
        <v>942</v>
      </c>
      <c r="I183" s="16" t="s">
        <v>943</v>
      </c>
      <c r="J183" s="16" t="s">
        <v>57</v>
      </c>
      <c r="K183" s="34" t="s">
        <v>835</v>
      </c>
      <c r="L183" s="34" t="s">
        <v>836</v>
      </c>
      <c r="M183" s="34" t="s">
        <v>378</v>
      </c>
      <c r="N183" s="34" t="s">
        <v>724</v>
      </c>
      <c r="O183" s="34" t="s">
        <v>599</v>
      </c>
      <c r="P183" s="34" t="s">
        <v>46</v>
      </c>
      <c r="Q183" s="34" t="s">
        <v>248</v>
      </c>
      <c r="R183" s="34" t="s">
        <v>48</v>
      </c>
      <c r="S183" s="34"/>
      <c r="U183" s="34"/>
      <c r="V183" s="34" t="s">
        <v>249</v>
      </c>
      <c r="W183" s="34">
        <v>8683</v>
      </c>
      <c r="X183" s="34" t="s">
        <v>50</v>
      </c>
      <c r="Y183" s="34" t="s">
        <v>929</v>
      </c>
      <c r="Z183" s="34"/>
      <c r="AA183" s="34"/>
      <c r="AB183" s="55" t="s">
        <v>251</v>
      </c>
      <c r="AC183" s="109">
        <v>45778</v>
      </c>
      <c r="AD183" s="109">
        <v>46054</v>
      </c>
      <c r="AE183" s="34"/>
      <c r="AF183" s="124">
        <f t="shared" si="5"/>
        <v>276</v>
      </c>
      <c r="AG183" s="110" t="s">
        <v>611</v>
      </c>
      <c r="AH183" s="40">
        <v>80000</v>
      </c>
      <c r="AI183" s="40"/>
      <c r="AJ183" s="40"/>
      <c r="AK183" s="40">
        <v>9045</v>
      </c>
      <c r="AL183" s="44">
        <v>75140</v>
      </c>
      <c r="AM183" s="44">
        <f t="shared" si="4"/>
        <v>164185</v>
      </c>
      <c r="AN183" s="25" t="s">
        <v>55</v>
      </c>
    </row>
    <row r="184" spans="1:40" ht="30" customHeight="1">
      <c r="A184" s="162"/>
      <c r="B184" s="17">
        <v>183</v>
      </c>
      <c r="C184" s="89">
        <v>46057</v>
      </c>
      <c r="D184" s="16" t="s">
        <v>930</v>
      </c>
      <c r="E184" s="16" t="s">
        <v>944</v>
      </c>
      <c r="F184" s="16" t="s">
        <v>148</v>
      </c>
      <c r="G184" s="16" t="s">
        <v>71</v>
      </c>
      <c r="H184" s="16" t="s">
        <v>945</v>
      </c>
      <c r="I184" s="16" t="s">
        <v>946</v>
      </c>
      <c r="J184" s="16" t="s">
        <v>57</v>
      </c>
      <c r="K184" s="34" t="s">
        <v>947</v>
      </c>
      <c r="L184" s="34" t="s">
        <v>948</v>
      </c>
      <c r="M184" s="34" t="s">
        <v>378</v>
      </c>
      <c r="N184" s="34" t="s">
        <v>724</v>
      </c>
      <c r="O184" s="34" t="s">
        <v>599</v>
      </c>
      <c r="P184" s="34" t="s">
        <v>46</v>
      </c>
      <c r="Q184" s="34" t="s">
        <v>248</v>
      </c>
      <c r="R184" s="34" t="s">
        <v>48</v>
      </c>
      <c r="S184" s="34"/>
      <c r="U184" s="34"/>
      <c r="V184" s="34" t="s">
        <v>249</v>
      </c>
      <c r="W184" s="34">
        <v>9845</v>
      </c>
      <c r="X184" s="34" t="s">
        <v>288</v>
      </c>
      <c r="Y184" s="34" t="s">
        <v>929</v>
      </c>
      <c r="Z184" s="34"/>
      <c r="AA184" s="34"/>
      <c r="AB184" s="55" t="s">
        <v>251</v>
      </c>
      <c r="AC184" s="109">
        <v>45658</v>
      </c>
      <c r="AD184" s="109">
        <v>46054</v>
      </c>
      <c r="AE184" s="34"/>
      <c r="AF184" s="124">
        <f t="shared" si="5"/>
        <v>396</v>
      </c>
      <c r="AG184" s="110" t="s">
        <v>611</v>
      </c>
      <c r="AH184" s="40">
        <v>80000</v>
      </c>
      <c r="AI184" s="40"/>
      <c r="AJ184" s="40"/>
      <c r="AK184" s="40">
        <v>9045</v>
      </c>
      <c r="AL184" s="44">
        <v>75140</v>
      </c>
      <c r="AM184" s="44">
        <f t="shared" si="4"/>
        <v>164185</v>
      </c>
      <c r="AN184" s="25" t="s">
        <v>55</v>
      </c>
    </row>
    <row r="185" spans="1:40" ht="30" customHeight="1">
      <c r="A185" s="162"/>
      <c r="B185" s="17">
        <v>184</v>
      </c>
      <c r="C185" s="89">
        <v>46057</v>
      </c>
      <c r="D185" s="16" t="s">
        <v>871</v>
      </c>
      <c r="E185" s="16" t="s">
        <v>949</v>
      </c>
      <c r="F185" s="19" t="s">
        <v>105</v>
      </c>
      <c r="G185" s="16" t="s">
        <v>71</v>
      </c>
      <c r="H185" s="16" t="s">
        <v>950</v>
      </c>
      <c r="I185" s="16" t="s">
        <v>951</v>
      </c>
      <c r="J185" s="16" t="s">
        <v>45</v>
      </c>
      <c r="K185" s="34" t="s">
        <v>952</v>
      </c>
      <c r="L185" s="34" t="s">
        <v>953</v>
      </c>
      <c r="M185" s="34" t="s">
        <v>378</v>
      </c>
      <c r="N185" s="34" t="s">
        <v>724</v>
      </c>
      <c r="O185" s="34" t="s">
        <v>599</v>
      </c>
      <c r="P185" s="34" t="s">
        <v>46</v>
      </c>
      <c r="Q185" s="34" t="s">
        <v>248</v>
      </c>
      <c r="R185" s="34" t="s">
        <v>48</v>
      </c>
      <c r="S185" s="34"/>
      <c r="U185" s="34"/>
      <c r="V185" s="34" t="s">
        <v>249</v>
      </c>
      <c r="W185" s="34">
        <v>2433</v>
      </c>
      <c r="X185" s="34" t="s">
        <v>60</v>
      </c>
      <c r="Y185" s="34" t="s">
        <v>929</v>
      </c>
      <c r="Z185" s="34"/>
      <c r="AA185" s="34"/>
      <c r="AB185" s="55" t="s">
        <v>251</v>
      </c>
      <c r="AC185" s="109">
        <v>45839</v>
      </c>
      <c r="AD185" s="109">
        <v>46054</v>
      </c>
      <c r="AE185" s="34"/>
      <c r="AF185" s="124">
        <f t="shared" si="5"/>
        <v>215</v>
      </c>
      <c r="AG185" s="16" t="s">
        <v>85</v>
      </c>
      <c r="AH185" s="40">
        <v>80000</v>
      </c>
      <c r="AI185" s="40"/>
      <c r="AJ185" s="40"/>
      <c r="AK185" s="40">
        <v>9045</v>
      </c>
      <c r="AL185" s="44">
        <v>75140</v>
      </c>
      <c r="AM185" s="44">
        <f t="shared" si="4"/>
        <v>164185</v>
      </c>
      <c r="AN185" s="25" t="s">
        <v>55</v>
      </c>
    </row>
    <row r="186" spans="1:40" ht="30" customHeight="1">
      <c r="A186" s="162"/>
      <c r="B186" s="17">
        <v>185</v>
      </c>
      <c r="C186" s="89">
        <v>46057</v>
      </c>
      <c r="D186" s="16" t="s">
        <v>954</v>
      </c>
      <c r="E186" s="16" t="s">
        <v>955</v>
      </c>
      <c r="F186" s="16" t="s">
        <v>70</v>
      </c>
      <c r="G186" s="16" t="s">
        <v>71</v>
      </c>
      <c r="H186" s="16" t="s">
        <v>956</v>
      </c>
      <c r="I186" s="16" t="s">
        <v>957</v>
      </c>
      <c r="J186" s="16" t="s">
        <v>57</v>
      </c>
      <c r="K186" s="34" t="s">
        <v>958</v>
      </c>
      <c r="L186" s="34" t="s">
        <v>959</v>
      </c>
      <c r="M186" s="34"/>
      <c r="N186" s="34"/>
      <c r="O186" s="34"/>
      <c r="P186" s="34" t="s">
        <v>46</v>
      </c>
      <c r="Q186" s="34" t="s">
        <v>960</v>
      </c>
      <c r="R186" s="34" t="s">
        <v>48</v>
      </c>
      <c r="S186" s="34"/>
      <c r="U186" s="34"/>
      <c r="V186" s="34" t="s">
        <v>961</v>
      </c>
      <c r="W186" s="34">
        <v>18372</v>
      </c>
      <c r="X186" s="20" t="s">
        <v>107</v>
      </c>
      <c r="Y186" s="34" t="s">
        <v>929</v>
      </c>
      <c r="Z186" s="34"/>
      <c r="AA186" s="34"/>
      <c r="AB186" s="20" t="s">
        <v>80</v>
      </c>
      <c r="AC186" s="109">
        <v>45870</v>
      </c>
      <c r="AD186" s="109">
        <v>46054</v>
      </c>
      <c r="AE186" s="34"/>
      <c r="AF186" s="124">
        <f t="shared" si="5"/>
        <v>184</v>
      </c>
      <c r="AG186" s="16" t="s">
        <v>85</v>
      </c>
      <c r="AH186" s="40">
        <v>80000</v>
      </c>
      <c r="AI186" s="40"/>
      <c r="AJ186" s="40"/>
      <c r="AK186" s="40">
        <f t="shared" ref="AK186:AK188" si="6">5945+3000</f>
        <v>8945</v>
      </c>
      <c r="AL186" s="40">
        <v>0</v>
      </c>
      <c r="AM186" s="44">
        <f t="shared" si="4"/>
        <v>88945</v>
      </c>
      <c r="AN186" s="25" t="s">
        <v>55</v>
      </c>
    </row>
    <row r="187" spans="1:40" ht="30" customHeight="1">
      <c r="A187" s="161">
        <v>46063</v>
      </c>
      <c r="B187" s="17">
        <v>186</v>
      </c>
      <c r="C187" s="89">
        <v>46059</v>
      </c>
      <c r="D187" s="16" t="s">
        <v>962</v>
      </c>
      <c r="E187" s="16" t="s">
        <v>519</v>
      </c>
      <c r="F187" s="19" t="s">
        <v>42</v>
      </c>
      <c r="G187" s="16" t="s">
        <v>71</v>
      </c>
      <c r="H187" s="16" t="s">
        <v>963</v>
      </c>
      <c r="I187" s="16" t="s">
        <v>964</v>
      </c>
      <c r="J187" s="16" t="s">
        <v>551</v>
      </c>
      <c r="K187" s="34" t="s">
        <v>965</v>
      </c>
      <c r="L187" s="34" t="s">
        <v>966</v>
      </c>
      <c r="M187" s="34"/>
      <c r="N187" s="34"/>
      <c r="O187" s="34"/>
      <c r="P187" s="34" t="s">
        <v>46</v>
      </c>
      <c r="Q187" s="34" t="s">
        <v>960</v>
      </c>
      <c r="R187" s="34" t="s">
        <v>48</v>
      </c>
      <c r="S187" s="34"/>
      <c r="U187" s="34"/>
      <c r="V187" s="34" t="s">
        <v>961</v>
      </c>
      <c r="W187" s="34">
        <v>1132</v>
      </c>
      <c r="X187" s="34" t="s">
        <v>123</v>
      </c>
      <c r="Y187" s="34" t="s">
        <v>929</v>
      </c>
      <c r="AB187" s="20" t="s">
        <v>80</v>
      </c>
      <c r="AC187" s="109">
        <v>45931</v>
      </c>
      <c r="AD187" s="109">
        <v>46054</v>
      </c>
      <c r="AF187" s="124">
        <f t="shared" si="5"/>
        <v>123</v>
      </c>
      <c r="AG187" s="24" t="s">
        <v>54</v>
      </c>
      <c r="AH187" s="40">
        <v>80000</v>
      </c>
      <c r="AI187" s="40"/>
      <c r="AJ187" s="40"/>
      <c r="AK187" s="40">
        <f t="shared" si="6"/>
        <v>8945</v>
      </c>
      <c r="AL187" s="40">
        <v>0</v>
      </c>
      <c r="AM187" s="44">
        <f t="shared" si="4"/>
        <v>88945</v>
      </c>
      <c r="AN187" s="25" t="s">
        <v>55</v>
      </c>
    </row>
    <row r="188" spans="1:40" ht="30" customHeight="1">
      <c r="A188" s="162"/>
      <c r="B188" s="17">
        <v>187</v>
      </c>
      <c r="C188" s="89">
        <v>46062</v>
      </c>
      <c r="D188" s="16" t="s">
        <v>967</v>
      </c>
      <c r="E188" s="16" t="s">
        <v>807</v>
      </c>
      <c r="F188" s="19" t="s">
        <v>98</v>
      </c>
      <c r="G188" s="16" t="s">
        <v>71</v>
      </c>
      <c r="H188" s="16" t="s">
        <v>968</v>
      </c>
      <c r="I188" s="16" t="s">
        <v>969</v>
      </c>
      <c r="J188" s="16" t="s">
        <v>45</v>
      </c>
      <c r="K188" s="34" t="s">
        <v>970</v>
      </c>
      <c r="L188" s="34" t="s">
        <v>971</v>
      </c>
      <c r="M188" s="34"/>
      <c r="N188" s="34"/>
      <c r="O188" s="34"/>
      <c r="P188" s="34" t="s">
        <v>46</v>
      </c>
      <c r="Q188" s="34" t="s">
        <v>960</v>
      </c>
      <c r="R188" s="34" t="s">
        <v>48</v>
      </c>
      <c r="S188" s="34"/>
      <c r="U188" s="34"/>
      <c r="V188" s="34" t="s">
        <v>961</v>
      </c>
      <c r="W188" s="34">
        <v>3035</v>
      </c>
      <c r="X188" s="34" t="s">
        <v>94</v>
      </c>
      <c r="Y188" s="34" t="s">
        <v>929</v>
      </c>
      <c r="AB188" s="20" t="s">
        <v>80</v>
      </c>
      <c r="AC188" s="109">
        <v>45962</v>
      </c>
      <c r="AD188" s="109">
        <v>46054</v>
      </c>
      <c r="AF188" s="124">
        <f t="shared" si="5"/>
        <v>92</v>
      </c>
      <c r="AG188" s="24" t="s">
        <v>54</v>
      </c>
      <c r="AH188" s="40">
        <v>80000</v>
      </c>
      <c r="AI188" s="40"/>
      <c r="AJ188" s="40"/>
      <c r="AK188" s="40">
        <f t="shared" si="6"/>
        <v>8945</v>
      </c>
      <c r="AL188" s="40">
        <v>0</v>
      </c>
      <c r="AM188" s="44">
        <f t="shared" si="4"/>
        <v>88945</v>
      </c>
      <c r="AN188" s="25" t="s">
        <v>55</v>
      </c>
    </row>
    <row r="189" spans="1:40" ht="30" customHeight="1">
      <c r="A189" s="161">
        <v>46069</v>
      </c>
      <c r="B189" s="17">
        <v>188</v>
      </c>
      <c r="C189" s="89">
        <v>46066</v>
      </c>
      <c r="D189" s="16" t="s">
        <v>972</v>
      </c>
      <c r="E189" s="16" t="s">
        <v>973</v>
      </c>
      <c r="F189" s="16" t="s">
        <v>58</v>
      </c>
      <c r="G189" s="16" t="s">
        <v>202</v>
      </c>
      <c r="H189" s="16" t="s">
        <v>974</v>
      </c>
      <c r="I189" s="16" t="s">
        <v>975</v>
      </c>
      <c r="J189" s="16" t="s">
        <v>45</v>
      </c>
      <c r="K189" s="34" t="s">
        <v>976</v>
      </c>
      <c r="L189" s="34" t="s">
        <v>977</v>
      </c>
      <c r="M189" s="34" t="s">
        <v>378</v>
      </c>
      <c r="N189" s="34" t="s">
        <v>724</v>
      </c>
      <c r="O189" s="34" t="s">
        <v>599</v>
      </c>
      <c r="P189" s="34" t="s">
        <v>46</v>
      </c>
      <c r="Q189" s="34" t="s">
        <v>248</v>
      </c>
      <c r="R189" s="34" t="s">
        <v>48</v>
      </c>
      <c r="S189" s="34"/>
      <c r="U189" s="34"/>
      <c r="V189" s="34" t="s">
        <v>249</v>
      </c>
      <c r="W189" s="34">
        <v>7127</v>
      </c>
      <c r="X189" s="34" t="s">
        <v>87</v>
      </c>
      <c r="Y189" s="34" t="s">
        <v>929</v>
      </c>
      <c r="Z189" s="34"/>
      <c r="AA189" s="34"/>
      <c r="AB189" s="55" t="s">
        <v>251</v>
      </c>
      <c r="AC189" s="109">
        <v>45870</v>
      </c>
      <c r="AD189" s="109">
        <v>46054</v>
      </c>
      <c r="AE189" s="34"/>
      <c r="AF189" s="124">
        <f t="shared" si="5"/>
        <v>184</v>
      </c>
      <c r="AG189" s="16" t="s">
        <v>85</v>
      </c>
      <c r="AH189" s="34">
        <v>11640</v>
      </c>
      <c r="AI189" s="34"/>
      <c r="AJ189" s="34"/>
      <c r="AK189" s="40">
        <v>9045</v>
      </c>
      <c r="AL189" s="44">
        <v>75140</v>
      </c>
      <c r="AM189" s="44">
        <f t="shared" si="4"/>
        <v>95825</v>
      </c>
      <c r="AN189" s="25" t="s">
        <v>55</v>
      </c>
    </row>
    <row r="190" spans="1:40" ht="30" customHeight="1">
      <c r="A190" s="162"/>
      <c r="B190" s="17">
        <v>189</v>
      </c>
      <c r="C190" s="89">
        <v>46066</v>
      </c>
      <c r="D190" s="16" t="s">
        <v>386</v>
      </c>
      <c r="E190" s="16" t="s">
        <v>978</v>
      </c>
      <c r="F190" s="16" t="s">
        <v>388</v>
      </c>
      <c r="G190" s="16" t="s">
        <v>71</v>
      </c>
      <c r="H190" s="16" t="s">
        <v>979</v>
      </c>
      <c r="I190" s="16" t="s">
        <v>980</v>
      </c>
      <c r="J190" s="16" t="s">
        <v>57</v>
      </c>
      <c r="K190" s="34" t="s">
        <v>981</v>
      </c>
      <c r="L190" s="34" t="s">
        <v>982</v>
      </c>
      <c r="M190" s="34" t="s">
        <v>378</v>
      </c>
      <c r="N190" s="34" t="s">
        <v>724</v>
      </c>
      <c r="O190" s="34" t="s">
        <v>599</v>
      </c>
      <c r="P190" s="34" t="s">
        <v>46</v>
      </c>
      <c r="Q190" s="34" t="s">
        <v>248</v>
      </c>
      <c r="R190" s="34" t="s">
        <v>48</v>
      </c>
      <c r="S190" s="34"/>
      <c r="U190" s="34"/>
      <c r="V190" s="34" t="s">
        <v>249</v>
      </c>
      <c r="W190" s="34">
        <v>11394</v>
      </c>
      <c r="X190" s="34" t="s">
        <v>67</v>
      </c>
      <c r="Y190" s="34" t="s">
        <v>929</v>
      </c>
      <c r="Z190" s="34"/>
      <c r="AA190" s="34"/>
      <c r="AB190" s="55" t="s">
        <v>251</v>
      </c>
      <c r="AC190" s="109">
        <v>45839</v>
      </c>
      <c r="AD190" s="109">
        <v>46054</v>
      </c>
      <c r="AE190" s="34"/>
      <c r="AF190" s="16">
        <f t="shared" si="5"/>
        <v>215</v>
      </c>
      <c r="AG190" s="16" t="s">
        <v>85</v>
      </c>
      <c r="AH190" s="40">
        <v>80000</v>
      </c>
      <c r="AI190" s="40"/>
      <c r="AJ190" s="40"/>
      <c r="AK190" s="40">
        <v>9045</v>
      </c>
      <c r="AL190" s="44">
        <v>75140</v>
      </c>
      <c r="AM190" s="44">
        <f t="shared" si="4"/>
        <v>164185</v>
      </c>
      <c r="AN190" s="25" t="s">
        <v>55</v>
      </c>
    </row>
    <row r="191" spans="1:40" ht="30" customHeight="1">
      <c r="A191" s="166"/>
      <c r="B191" s="17">
        <v>190</v>
      </c>
      <c r="C191" s="18">
        <v>46068</v>
      </c>
      <c r="D191" s="19" t="s">
        <v>573</v>
      </c>
      <c r="E191" s="125" t="s">
        <v>983</v>
      </c>
      <c r="F191" s="125" t="s">
        <v>235</v>
      </c>
      <c r="G191" s="19" t="s">
        <v>71</v>
      </c>
      <c r="H191" s="16" t="s">
        <v>984</v>
      </c>
      <c r="I191" s="126" t="s">
        <v>985</v>
      </c>
      <c r="J191" s="19" t="s">
        <v>551</v>
      </c>
      <c r="K191" s="20" t="s">
        <v>986</v>
      </c>
      <c r="L191" s="20" t="s">
        <v>987</v>
      </c>
      <c r="M191" s="20"/>
      <c r="N191" s="20"/>
      <c r="O191" s="20"/>
      <c r="P191" s="20" t="s">
        <v>46</v>
      </c>
      <c r="Q191" s="20" t="s">
        <v>988</v>
      </c>
      <c r="R191" s="34" t="s">
        <v>48</v>
      </c>
      <c r="S191" s="20"/>
      <c r="T191" s="20"/>
      <c r="U191" s="20"/>
      <c r="V191" s="20" t="s">
        <v>989</v>
      </c>
      <c r="W191" s="20">
        <v>2011</v>
      </c>
      <c r="X191" s="20" t="s">
        <v>60</v>
      </c>
      <c r="Y191" s="40" t="s">
        <v>141</v>
      </c>
      <c r="Z191" s="20"/>
      <c r="AA191" s="20"/>
      <c r="AB191" s="20" t="s">
        <v>139</v>
      </c>
      <c r="AC191" s="21">
        <v>45931</v>
      </c>
      <c r="AD191" s="21">
        <v>46054</v>
      </c>
      <c r="AE191" s="20"/>
      <c r="AF191" s="23">
        <f t="shared" si="5"/>
        <v>123</v>
      </c>
      <c r="AG191" s="19" t="s">
        <v>54</v>
      </c>
      <c r="AH191" s="40">
        <v>0</v>
      </c>
      <c r="AI191" s="40"/>
      <c r="AJ191" s="40"/>
      <c r="AK191" s="40">
        <v>5945</v>
      </c>
      <c r="AL191" s="44">
        <v>1038640.9600000001</v>
      </c>
      <c r="AM191" s="44">
        <f t="shared" si="4"/>
        <v>1044585.9600000001</v>
      </c>
      <c r="AN191" s="31" t="s">
        <v>132</v>
      </c>
    </row>
    <row r="192" spans="1:40" ht="30" customHeight="1">
      <c r="A192" s="163"/>
      <c r="B192" s="17">
        <v>191</v>
      </c>
      <c r="C192" s="127">
        <v>46068</v>
      </c>
      <c r="D192" s="115" t="s">
        <v>990</v>
      </c>
      <c r="E192" s="115" t="s">
        <v>991</v>
      </c>
      <c r="F192" s="125" t="s">
        <v>458</v>
      </c>
      <c r="G192" s="115" t="s">
        <v>459</v>
      </c>
      <c r="H192" s="16" t="s">
        <v>992</v>
      </c>
      <c r="I192" s="128" t="s">
        <v>993</v>
      </c>
      <c r="J192" s="115" t="s">
        <v>57</v>
      </c>
      <c r="K192" s="43" t="s">
        <v>994</v>
      </c>
      <c r="L192" s="43" t="s">
        <v>995</v>
      </c>
      <c r="M192" s="43"/>
      <c r="N192" s="43"/>
      <c r="O192" s="43"/>
      <c r="P192" s="43" t="s">
        <v>46</v>
      </c>
      <c r="Q192" s="43" t="s">
        <v>996</v>
      </c>
      <c r="R192" s="43" t="s">
        <v>48</v>
      </c>
      <c r="S192" s="43"/>
      <c r="T192" s="43"/>
      <c r="U192" s="43"/>
      <c r="V192" s="43" t="s">
        <v>208</v>
      </c>
      <c r="W192" s="43">
        <v>3102</v>
      </c>
      <c r="X192" s="43" t="s">
        <v>94</v>
      </c>
      <c r="Y192" s="43" t="s">
        <v>929</v>
      </c>
      <c r="Z192" s="43"/>
      <c r="AA192" s="43"/>
      <c r="AB192" s="43" t="s">
        <v>210</v>
      </c>
      <c r="AC192" s="121">
        <v>45931</v>
      </c>
      <c r="AD192" s="121">
        <v>46054</v>
      </c>
      <c r="AE192" s="43"/>
      <c r="AF192" s="129">
        <f t="shared" si="5"/>
        <v>123</v>
      </c>
      <c r="AG192" s="115" t="s">
        <v>54</v>
      </c>
      <c r="AH192" s="43">
        <v>16320</v>
      </c>
      <c r="AI192" s="43"/>
      <c r="AJ192" s="43"/>
      <c r="AK192" s="40">
        <v>9045</v>
      </c>
      <c r="AL192" s="44">
        <v>108782</v>
      </c>
      <c r="AM192" s="43">
        <f t="shared" si="4"/>
        <v>134147</v>
      </c>
      <c r="AN192" s="31" t="s">
        <v>132</v>
      </c>
    </row>
    <row r="193" spans="1:40" ht="30" customHeight="1">
      <c r="A193" s="89">
        <v>46070</v>
      </c>
      <c r="B193" s="17">
        <v>192</v>
      </c>
      <c r="C193" s="89">
        <v>46069</v>
      </c>
      <c r="D193" s="16" t="s">
        <v>997</v>
      </c>
      <c r="E193" s="16" t="s">
        <v>998</v>
      </c>
      <c r="F193" s="16" t="s">
        <v>70</v>
      </c>
      <c r="G193" s="16" t="s">
        <v>202</v>
      </c>
      <c r="H193" s="16" t="s">
        <v>999</v>
      </c>
      <c r="I193" s="90" t="s">
        <v>1000</v>
      </c>
      <c r="J193" s="16" t="s">
        <v>57</v>
      </c>
      <c r="K193" s="34" t="s">
        <v>1001</v>
      </c>
      <c r="L193" s="34" t="s">
        <v>1002</v>
      </c>
      <c r="M193" s="34"/>
      <c r="N193" s="34"/>
      <c r="O193" s="34"/>
      <c r="P193" s="34" t="s">
        <v>46</v>
      </c>
      <c r="Q193" s="34" t="s">
        <v>996</v>
      </c>
      <c r="R193" s="34" t="s">
        <v>48</v>
      </c>
      <c r="S193" s="34"/>
      <c r="U193" s="34"/>
      <c r="V193" s="34" t="s">
        <v>208</v>
      </c>
      <c r="W193" s="34">
        <v>9032</v>
      </c>
      <c r="X193" s="34" t="s">
        <v>288</v>
      </c>
      <c r="Y193" s="34" t="s">
        <v>929</v>
      </c>
      <c r="Z193" s="34"/>
      <c r="AA193" s="34"/>
      <c r="AB193" s="34" t="s">
        <v>210</v>
      </c>
      <c r="AC193" s="109">
        <v>45748</v>
      </c>
      <c r="AD193" s="109">
        <v>46054</v>
      </c>
      <c r="AE193" s="34"/>
      <c r="AF193" s="16">
        <f t="shared" si="5"/>
        <v>306</v>
      </c>
      <c r="AG193" s="110" t="s">
        <v>611</v>
      </c>
      <c r="AH193" s="34">
        <v>11200</v>
      </c>
      <c r="AI193" s="34"/>
      <c r="AJ193" s="34"/>
      <c r="AK193" s="40">
        <v>9045</v>
      </c>
      <c r="AL193" s="44">
        <v>108782</v>
      </c>
      <c r="AM193" s="34">
        <f t="shared" si="4"/>
        <v>129027</v>
      </c>
      <c r="AN193" s="31" t="s">
        <v>132</v>
      </c>
    </row>
    <row r="194" spans="1:40" ht="30" customHeight="1">
      <c r="A194" s="161">
        <v>46071</v>
      </c>
      <c r="B194" s="17">
        <v>193</v>
      </c>
      <c r="C194" s="89">
        <v>46070</v>
      </c>
      <c r="D194" s="16" t="s">
        <v>930</v>
      </c>
      <c r="E194" s="16" t="s">
        <v>944</v>
      </c>
      <c r="F194" s="16" t="s">
        <v>148</v>
      </c>
      <c r="G194" s="16" t="s">
        <v>71</v>
      </c>
      <c r="H194" s="16" t="s">
        <v>1003</v>
      </c>
      <c r="I194" s="90" t="s">
        <v>1004</v>
      </c>
      <c r="J194" s="16" t="s">
        <v>57</v>
      </c>
      <c r="K194" s="34" t="s">
        <v>1005</v>
      </c>
      <c r="L194" s="34" t="s">
        <v>948</v>
      </c>
      <c r="M194" s="34" t="s">
        <v>378</v>
      </c>
      <c r="N194" s="34" t="s">
        <v>724</v>
      </c>
      <c r="O194" s="34" t="s">
        <v>599</v>
      </c>
      <c r="P194" s="34" t="s">
        <v>46</v>
      </c>
      <c r="Q194" s="34" t="s">
        <v>248</v>
      </c>
      <c r="R194" s="34" t="s">
        <v>48</v>
      </c>
      <c r="S194" s="34"/>
      <c r="U194" s="34"/>
      <c r="V194" s="34" t="s">
        <v>249</v>
      </c>
      <c r="W194" s="34">
        <v>37505</v>
      </c>
      <c r="X194" s="34" t="s">
        <v>1006</v>
      </c>
      <c r="Y194" s="43" t="s">
        <v>929</v>
      </c>
      <c r="Z194" s="34"/>
      <c r="AA194" s="34"/>
      <c r="AB194" s="55" t="s">
        <v>251</v>
      </c>
      <c r="AC194" s="109">
        <v>45748</v>
      </c>
      <c r="AD194" s="121">
        <v>46054</v>
      </c>
      <c r="AE194" s="34"/>
      <c r="AF194" s="129">
        <f t="shared" si="5"/>
        <v>306</v>
      </c>
      <c r="AG194" s="110" t="s">
        <v>611</v>
      </c>
      <c r="AH194" s="40">
        <v>80000</v>
      </c>
      <c r="AI194" s="40"/>
      <c r="AJ194" s="40"/>
      <c r="AK194" s="40">
        <v>9045</v>
      </c>
      <c r="AL194" s="44">
        <v>75140</v>
      </c>
      <c r="AM194" s="34">
        <f t="shared" si="4"/>
        <v>164185</v>
      </c>
      <c r="AN194" s="25" t="s">
        <v>55</v>
      </c>
    </row>
    <row r="195" spans="1:40" ht="30" customHeight="1">
      <c r="A195" s="162"/>
      <c r="B195" s="17">
        <v>194</v>
      </c>
      <c r="C195" s="89">
        <v>46070</v>
      </c>
      <c r="D195" s="16" t="s">
        <v>1007</v>
      </c>
      <c r="E195" s="16" t="s">
        <v>1008</v>
      </c>
      <c r="F195" s="16" t="s">
        <v>161</v>
      </c>
      <c r="G195" s="16" t="s">
        <v>202</v>
      </c>
      <c r="H195" s="16" t="s">
        <v>1009</v>
      </c>
      <c r="I195" s="90" t="s">
        <v>1010</v>
      </c>
      <c r="J195" s="16" t="s">
        <v>729</v>
      </c>
      <c r="K195" s="34" t="s">
        <v>1011</v>
      </c>
      <c r="L195" s="34" t="s">
        <v>1012</v>
      </c>
      <c r="M195" s="34"/>
      <c r="N195" s="34"/>
      <c r="O195" s="34"/>
      <c r="P195" s="34" t="s">
        <v>46</v>
      </c>
      <c r="Q195" s="34" t="s">
        <v>996</v>
      </c>
      <c r="R195" s="34" t="s">
        <v>48</v>
      </c>
      <c r="S195" s="34"/>
      <c r="U195" s="34"/>
      <c r="V195" s="34" t="s">
        <v>208</v>
      </c>
      <c r="W195" s="34">
        <v>16376</v>
      </c>
      <c r="X195" s="34" t="s">
        <v>107</v>
      </c>
      <c r="Y195" s="34" t="s">
        <v>929</v>
      </c>
      <c r="Z195" s="34"/>
      <c r="AA195" s="34"/>
      <c r="AB195" s="34" t="s">
        <v>210</v>
      </c>
      <c r="AC195" s="109">
        <v>45839</v>
      </c>
      <c r="AD195" s="109">
        <v>46054</v>
      </c>
      <c r="AE195" s="34"/>
      <c r="AF195" s="16">
        <f t="shared" si="5"/>
        <v>215</v>
      </c>
      <c r="AG195" s="16" t="s">
        <v>85</v>
      </c>
      <c r="AH195" s="34">
        <v>17880</v>
      </c>
      <c r="AI195" s="34"/>
      <c r="AJ195" s="34"/>
      <c r="AK195" s="40">
        <v>9045</v>
      </c>
      <c r="AL195" s="44">
        <v>108782</v>
      </c>
      <c r="AM195" s="34">
        <f t="shared" si="4"/>
        <v>135707</v>
      </c>
      <c r="AN195" s="31" t="s">
        <v>132</v>
      </c>
    </row>
    <row r="196" spans="1:40" ht="30" customHeight="1">
      <c r="A196" s="161">
        <v>46072</v>
      </c>
      <c r="B196" s="17">
        <v>195</v>
      </c>
      <c r="C196" s="89">
        <v>46071</v>
      </c>
      <c r="D196" s="16" t="s">
        <v>527</v>
      </c>
      <c r="E196" s="16" t="s">
        <v>1013</v>
      </c>
      <c r="F196" s="16" t="s">
        <v>388</v>
      </c>
      <c r="G196" s="16" t="s">
        <v>71</v>
      </c>
      <c r="H196" s="16" t="s">
        <v>1014</v>
      </c>
      <c r="I196" s="90" t="s">
        <v>1015</v>
      </c>
      <c r="J196" s="16" t="s">
        <v>45</v>
      </c>
      <c r="K196" s="34" t="s">
        <v>1016</v>
      </c>
      <c r="L196" s="34" t="s">
        <v>1017</v>
      </c>
      <c r="M196" s="34" t="s">
        <v>378</v>
      </c>
      <c r="N196" s="34" t="s">
        <v>724</v>
      </c>
      <c r="O196" s="34" t="s">
        <v>599</v>
      </c>
      <c r="P196" s="34" t="s">
        <v>46</v>
      </c>
      <c r="Q196" s="34" t="s">
        <v>248</v>
      </c>
      <c r="R196" s="34" t="s">
        <v>48</v>
      </c>
      <c r="S196" s="34"/>
      <c r="U196" s="34"/>
      <c r="V196" s="34" t="s">
        <v>249</v>
      </c>
      <c r="W196" s="34">
        <v>3289</v>
      </c>
      <c r="X196" s="34" t="s">
        <v>94</v>
      </c>
      <c r="Y196" s="43" t="s">
        <v>929</v>
      </c>
      <c r="AB196" s="55" t="s">
        <v>251</v>
      </c>
      <c r="AC196" s="109">
        <v>45839</v>
      </c>
      <c r="AD196" s="121">
        <v>46054</v>
      </c>
      <c r="AF196" s="16">
        <f t="shared" si="5"/>
        <v>215</v>
      </c>
      <c r="AG196" s="16" t="s">
        <v>85</v>
      </c>
      <c r="AH196" s="40">
        <v>80000</v>
      </c>
      <c r="AI196" s="40"/>
      <c r="AJ196" s="40"/>
      <c r="AK196" s="40">
        <v>9045</v>
      </c>
      <c r="AL196" s="44">
        <v>75140</v>
      </c>
      <c r="AM196" s="34">
        <f t="shared" si="4"/>
        <v>164185</v>
      </c>
      <c r="AN196" s="25" t="s">
        <v>55</v>
      </c>
    </row>
    <row r="197" spans="1:40" ht="30" customHeight="1">
      <c r="A197" s="163"/>
      <c r="B197" s="17">
        <v>196</v>
      </c>
      <c r="C197" s="127">
        <v>46071</v>
      </c>
      <c r="D197" s="115" t="s">
        <v>871</v>
      </c>
      <c r="E197" s="115" t="s">
        <v>1018</v>
      </c>
      <c r="F197" s="115" t="s">
        <v>235</v>
      </c>
      <c r="G197" s="115" t="s">
        <v>71</v>
      </c>
      <c r="H197" s="16" t="s">
        <v>1019</v>
      </c>
      <c r="I197" s="128" t="s">
        <v>1020</v>
      </c>
      <c r="J197" s="115" t="s">
        <v>57</v>
      </c>
      <c r="K197" s="43" t="s">
        <v>1021</v>
      </c>
      <c r="L197" s="43" t="s">
        <v>1022</v>
      </c>
      <c r="M197" s="43" t="s">
        <v>378</v>
      </c>
      <c r="N197" s="43" t="s">
        <v>724</v>
      </c>
      <c r="O197" s="43" t="s">
        <v>599</v>
      </c>
      <c r="P197" s="43" t="s">
        <v>46</v>
      </c>
      <c r="Q197" s="43" t="s">
        <v>248</v>
      </c>
      <c r="R197" s="43" t="s">
        <v>48</v>
      </c>
      <c r="S197" s="43"/>
      <c r="T197" s="43"/>
      <c r="U197" s="43"/>
      <c r="V197" s="43" t="s">
        <v>249</v>
      </c>
      <c r="W197" s="43">
        <v>1771</v>
      </c>
      <c r="X197" s="43" t="s">
        <v>123</v>
      </c>
      <c r="Y197" s="43" t="s">
        <v>929</v>
      </c>
      <c r="AB197" s="55" t="s">
        <v>251</v>
      </c>
      <c r="AC197" s="121">
        <v>45809</v>
      </c>
      <c r="AD197" s="121">
        <v>46054</v>
      </c>
      <c r="AF197" s="115">
        <f t="shared" si="5"/>
        <v>245</v>
      </c>
      <c r="AG197" s="115" t="s">
        <v>85</v>
      </c>
      <c r="AH197" s="40">
        <v>80000</v>
      </c>
      <c r="AI197" s="71"/>
      <c r="AJ197" s="71"/>
      <c r="AK197" s="71">
        <v>9045</v>
      </c>
      <c r="AL197" s="130">
        <v>75140</v>
      </c>
      <c r="AM197" s="131">
        <f>AH197+AK197+AL197</f>
        <v>164185</v>
      </c>
      <c r="AN197" s="25" t="s">
        <v>55</v>
      </c>
    </row>
    <row r="198" spans="1:40" ht="30" customHeight="1">
      <c r="A198" s="89">
        <v>46073</v>
      </c>
      <c r="B198" s="17">
        <v>197</v>
      </c>
      <c r="C198" s="89">
        <v>46072</v>
      </c>
      <c r="D198" s="16" t="s">
        <v>1023</v>
      </c>
      <c r="E198" s="16" t="s">
        <v>1024</v>
      </c>
      <c r="F198" s="16" t="s">
        <v>388</v>
      </c>
      <c r="G198" s="16" t="s">
        <v>71</v>
      </c>
      <c r="H198" s="16" t="s">
        <v>1025</v>
      </c>
      <c r="I198" s="90" t="s">
        <v>1026</v>
      </c>
      <c r="J198" s="16" t="s">
        <v>57</v>
      </c>
      <c r="K198" s="34" t="s">
        <v>1027</v>
      </c>
      <c r="L198" s="34" t="s">
        <v>1028</v>
      </c>
      <c r="M198" s="34" t="s">
        <v>378</v>
      </c>
      <c r="N198" s="34" t="s">
        <v>724</v>
      </c>
      <c r="O198" s="34" t="s">
        <v>599</v>
      </c>
      <c r="P198" s="34" t="s">
        <v>46</v>
      </c>
      <c r="Q198" s="34" t="s">
        <v>248</v>
      </c>
      <c r="R198" s="34" t="s">
        <v>48</v>
      </c>
      <c r="S198" s="34"/>
      <c r="U198" s="34"/>
      <c r="V198" s="34" t="s">
        <v>249</v>
      </c>
      <c r="W198" s="43">
        <v>2118</v>
      </c>
      <c r="X198" s="43" t="s">
        <v>60</v>
      </c>
      <c r="Y198" s="34" t="s">
        <v>929</v>
      </c>
      <c r="Z198" s="34"/>
      <c r="AA198" s="34"/>
      <c r="AB198" s="55" t="s">
        <v>251</v>
      </c>
      <c r="AC198" s="121">
        <v>45962</v>
      </c>
      <c r="AD198" s="109">
        <v>46054</v>
      </c>
      <c r="AE198" s="34"/>
      <c r="AF198" s="16">
        <f t="shared" si="5"/>
        <v>92</v>
      </c>
      <c r="AG198" s="16" t="s">
        <v>54</v>
      </c>
      <c r="AH198" s="40">
        <v>80000</v>
      </c>
      <c r="AI198" s="40"/>
      <c r="AJ198" s="40"/>
      <c r="AK198" s="40">
        <v>9045</v>
      </c>
      <c r="AL198" s="44">
        <v>75140</v>
      </c>
      <c r="AM198" s="50">
        <f>AH198+AK198+AL198</f>
        <v>164185</v>
      </c>
      <c r="AN198" s="25" t="s">
        <v>55</v>
      </c>
    </row>
    <row r="199" spans="1:40" ht="30" customHeight="1">
      <c r="A199" s="161">
        <v>46078</v>
      </c>
      <c r="B199" s="17">
        <v>198</v>
      </c>
      <c r="C199" s="89">
        <v>46073</v>
      </c>
      <c r="D199" s="16" t="s">
        <v>527</v>
      </c>
      <c r="E199" s="16" t="s">
        <v>1013</v>
      </c>
      <c r="F199" s="16" t="s">
        <v>388</v>
      </c>
      <c r="G199" s="16" t="s">
        <v>71</v>
      </c>
      <c r="H199" s="16" t="s">
        <v>1029</v>
      </c>
      <c r="I199" s="90" t="s">
        <v>1030</v>
      </c>
      <c r="J199" s="16" t="s">
        <v>57</v>
      </c>
      <c r="K199" s="34" t="s">
        <v>1031</v>
      </c>
      <c r="L199" s="34" t="s">
        <v>1017</v>
      </c>
      <c r="M199" s="34" t="s">
        <v>378</v>
      </c>
      <c r="N199" s="34" t="s">
        <v>724</v>
      </c>
      <c r="O199" s="34" t="s">
        <v>599</v>
      </c>
      <c r="P199" s="34" t="s">
        <v>46</v>
      </c>
      <c r="Q199" s="34" t="s">
        <v>1032</v>
      </c>
      <c r="R199" s="34" t="s">
        <v>48</v>
      </c>
      <c r="S199" s="34"/>
      <c r="U199" s="34"/>
      <c r="V199" s="34" t="s">
        <v>208</v>
      </c>
      <c r="W199" s="43">
        <v>30184</v>
      </c>
      <c r="X199" s="43" t="s">
        <v>702</v>
      </c>
      <c r="Y199" s="43" t="s">
        <v>929</v>
      </c>
      <c r="Z199" s="34"/>
      <c r="AA199" s="34"/>
      <c r="AB199" s="132" t="s">
        <v>210</v>
      </c>
      <c r="AC199" s="121">
        <v>45748</v>
      </c>
      <c r="AD199" s="121">
        <v>46054</v>
      </c>
      <c r="AE199" s="34"/>
      <c r="AF199" s="115">
        <f t="shared" si="5"/>
        <v>306</v>
      </c>
      <c r="AG199" s="110" t="s">
        <v>611</v>
      </c>
      <c r="AH199" s="40">
        <v>80000</v>
      </c>
      <c r="AI199" s="71"/>
      <c r="AJ199" s="71"/>
      <c r="AK199" s="71">
        <v>9045</v>
      </c>
      <c r="AL199" s="44">
        <v>75140</v>
      </c>
      <c r="AM199" s="131">
        <f t="shared" ref="AM199:AM262" si="7">AH199+AK199+AL199</f>
        <v>164185</v>
      </c>
      <c r="AN199" s="31" t="s">
        <v>132</v>
      </c>
    </row>
    <row r="200" spans="1:40" ht="30" customHeight="1">
      <c r="A200" s="162"/>
      <c r="B200" s="17">
        <v>199</v>
      </c>
      <c r="C200" s="89">
        <v>46073</v>
      </c>
      <c r="D200" s="16" t="s">
        <v>1033</v>
      </c>
      <c r="E200" s="16" t="s">
        <v>1024</v>
      </c>
      <c r="F200" s="16" t="s">
        <v>388</v>
      </c>
      <c r="G200" s="16" t="s">
        <v>71</v>
      </c>
      <c r="H200" s="16" t="s">
        <v>1034</v>
      </c>
      <c r="I200" s="90" t="s">
        <v>1035</v>
      </c>
      <c r="J200" s="16" t="s">
        <v>57</v>
      </c>
      <c r="K200" s="34" t="s">
        <v>1036</v>
      </c>
      <c r="L200" s="34" t="s">
        <v>1037</v>
      </c>
      <c r="M200" s="34" t="s">
        <v>378</v>
      </c>
      <c r="N200" s="34" t="s">
        <v>724</v>
      </c>
      <c r="O200" s="34" t="s">
        <v>599</v>
      </c>
      <c r="P200" s="34" t="s">
        <v>46</v>
      </c>
      <c r="Q200" s="34" t="s">
        <v>248</v>
      </c>
      <c r="R200" s="34" t="s">
        <v>48</v>
      </c>
      <c r="S200" s="34"/>
      <c r="U200" s="34"/>
      <c r="V200" s="34" t="s">
        <v>249</v>
      </c>
      <c r="W200" s="43">
        <v>1185</v>
      </c>
      <c r="X200" s="43" t="s">
        <v>123</v>
      </c>
      <c r="Y200" s="34" t="s">
        <v>929</v>
      </c>
      <c r="Z200" s="34"/>
      <c r="AA200" s="34"/>
      <c r="AB200" s="55" t="s">
        <v>251</v>
      </c>
      <c r="AC200" s="121">
        <v>45962</v>
      </c>
      <c r="AD200" s="109">
        <v>46054</v>
      </c>
      <c r="AE200" s="34"/>
      <c r="AF200" s="16">
        <f t="shared" si="5"/>
        <v>92</v>
      </c>
      <c r="AG200" s="16" t="s">
        <v>54</v>
      </c>
      <c r="AH200" s="40">
        <v>80000</v>
      </c>
      <c r="AI200" s="40"/>
      <c r="AJ200" s="40"/>
      <c r="AK200" s="40">
        <v>9045</v>
      </c>
      <c r="AL200" s="44">
        <v>75140</v>
      </c>
      <c r="AM200" s="50">
        <f t="shared" si="7"/>
        <v>164185</v>
      </c>
      <c r="AN200" s="25" t="s">
        <v>55</v>
      </c>
    </row>
    <row r="201" spans="1:40" ht="30" customHeight="1">
      <c r="A201" s="162"/>
      <c r="B201" s="17">
        <v>200</v>
      </c>
      <c r="C201" s="89">
        <v>46074</v>
      </c>
      <c r="D201" s="16" t="s">
        <v>1038</v>
      </c>
      <c r="E201" s="16" t="s">
        <v>878</v>
      </c>
      <c r="F201" s="16" t="s">
        <v>148</v>
      </c>
      <c r="G201" s="16" t="s">
        <v>71</v>
      </c>
      <c r="H201" s="16" t="s">
        <v>1039</v>
      </c>
      <c r="I201" s="90" t="s">
        <v>1040</v>
      </c>
      <c r="J201" s="16" t="s">
        <v>45</v>
      </c>
      <c r="K201" s="34" t="s">
        <v>1041</v>
      </c>
      <c r="L201" s="34" t="s">
        <v>1042</v>
      </c>
      <c r="M201" s="34" t="s">
        <v>378</v>
      </c>
      <c r="N201" s="34" t="s">
        <v>724</v>
      </c>
      <c r="O201" s="34" t="s">
        <v>599</v>
      </c>
      <c r="P201" s="34" t="s">
        <v>46</v>
      </c>
      <c r="Q201" s="34" t="s">
        <v>248</v>
      </c>
      <c r="R201" s="34" t="s">
        <v>48</v>
      </c>
      <c r="S201" s="34"/>
      <c r="U201" s="34"/>
      <c r="V201" s="34" t="s">
        <v>249</v>
      </c>
      <c r="W201" s="43">
        <v>7856</v>
      </c>
      <c r="X201" s="43" t="s">
        <v>87</v>
      </c>
      <c r="Y201" s="43" t="s">
        <v>929</v>
      </c>
      <c r="Z201" s="34"/>
      <c r="AA201" s="34"/>
      <c r="AB201" s="55" t="s">
        <v>251</v>
      </c>
      <c r="AC201" s="121">
        <v>45778</v>
      </c>
      <c r="AD201" s="121">
        <v>46054</v>
      </c>
      <c r="AE201" s="34"/>
      <c r="AF201" s="115">
        <f t="shared" ref="AF201:AF264" si="8">AD201-AC201</f>
        <v>276</v>
      </c>
      <c r="AG201" s="110" t="s">
        <v>611</v>
      </c>
      <c r="AH201" s="40">
        <v>80000</v>
      </c>
      <c r="AI201" s="71"/>
      <c r="AJ201" s="71"/>
      <c r="AK201" s="71">
        <v>9045</v>
      </c>
      <c r="AL201" s="44">
        <v>75140</v>
      </c>
      <c r="AM201" s="131">
        <f t="shared" si="7"/>
        <v>164185</v>
      </c>
      <c r="AN201" s="25" t="s">
        <v>55</v>
      </c>
    </row>
    <row r="202" spans="1:40" ht="30" customHeight="1">
      <c r="A202" s="162"/>
      <c r="B202" s="17">
        <v>201</v>
      </c>
      <c r="C202" s="89">
        <v>46076</v>
      </c>
      <c r="D202" s="16" t="s">
        <v>1043</v>
      </c>
      <c r="E202" s="16" t="s">
        <v>1044</v>
      </c>
      <c r="F202" s="16" t="s">
        <v>244</v>
      </c>
      <c r="G202" s="16" t="s">
        <v>71</v>
      </c>
      <c r="H202" s="16" t="s">
        <v>1045</v>
      </c>
      <c r="I202" s="90" t="s">
        <v>1046</v>
      </c>
      <c r="J202" s="16" t="s">
        <v>45</v>
      </c>
      <c r="K202" s="34" t="s">
        <v>981</v>
      </c>
      <c r="L202" s="34" t="s">
        <v>1047</v>
      </c>
      <c r="M202" s="34" t="s">
        <v>378</v>
      </c>
      <c r="N202" s="34" t="s">
        <v>724</v>
      </c>
      <c r="O202" s="34" t="s">
        <v>599</v>
      </c>
      <c r="P202" s="34" t="s">
        <v>46</v>
      </c>
      <c r="Q202" s="34" t="s">
        <v>248</v>
      </c>
      <c r="R202" s="34" t="s">
        <v>48</v>
      </c>
      <c r="S202" s="34"/>
      <c r="U202" s="34"/>
      <c r="V202" s="34" t="s">
        <v>249</v>
      </c>
      <c r="W202" s="43">
        <v>7735</v>
      </c>
      <c r="X202" s="43" t="s">
        <v>87</v>
      </c>
      <c r="Y202" s="34" t="s">
        <v>929</v>
      </c>
      <c r="Z202" s="34"/>
      <c r="AA202" s="34"/>
      <c r="AB202" s="55" t="s">
        <v>251</v>
      </c>
      <c r="AC202" s="121">
        <v>45809</v>
      </c>
      <c r="AD202" s="109">
        <v>46054</v>
      </c>
      <c r="AE202" s="34"/>
      <c r="AF202" s="16">
        <f t="shared" si="8"/>
        <v>245</v>
      </c>
      <c r="AG202" s="129" t="s">
        <v>85</v>
      </c>
      <c r="AH202" s="40">
        <v>80000</v>
      </c>
      <c r="AI202" s="40"/>
      <c r="AJ202" s="40"/>
      <c r="AK202" s="40">
        <v>9045</v>
      </c>
      <c r="AL202" s="44">
        <v>75140</v>
      </c>
      <c r="AM202" s="50">
        <f t="shared" si="7"/>
        <v>164185</v>
      </c>
      <c r="AN202" s="25" t="s">
        <v>55</v>
      </c>
    </row>
    <row r="203" spans="1:40" ht="30" customHeight="1">
      <c r="A203" s="162"/>
      <c r="B203" s="17">
        <v>202</v>
      </c>
      <c r="C203" s="89">
        <v>46076</v>
      </c>
      <c r="D203" s="16" t="s">
        <v>1048</v>
      </c>
      <c r="E203" s="16" t="s">
        <v>1049</v>
      </c>
      <c r="F203" s="16" t="s">
        <v>70</v>
      </c>
      <c r="G203" s="16" t="s">
        <v>1050</v>
      </c>
      <c r="H203" s="16" t="s">
        <v>1051</v>
      </c>
      <c r="I203" s="133" t="s">
        <v>1052</v>
      </c>
      <c r="J203" s="16" t="s">
        <v>45</v>
      </c>
      <c r="K203" s="34" t="s">
        <v>1053</v>
      </c>
      <c r="L203" s="34" t="s">
        <v>1054</v>
      </c>
      <c r="M203" s="34" t="s">
        <v>378</v>
      </c>
      <c r="N203" s="34" t="s">
        <v>724</v>
      </c>
      <c r="O203" s="34" t="s">
        <v>599</v>
      </c>
      <c r="P203" s="34" t="s">
        <v>46</v>
      </c>
      <c r="Q203" s="34" t="s">
        <v>248</v>
      </c>
      <c r="R203" s="34" t="s">
        <v>48</v>
      </c>
      <c r="S203" s="34"/>
      <c r="U203" s="34"/>
      <c r="V203" s="34" t="s">
        <v>249</v>
      </c>
      <c r="W203" s="43">
        <v>6944</v>
      </c>
      <c r="X203" s="43" t="s">
        <v>97</v>
      </c>
      <c r="Y203" s="43" t="s">
        <v>929</v>
      </c>
      <c r="Z203" s="34"/>
      <c r="AA203" s="34"/>
      <c r="AB203" s="55" t="s">
        <v>251</v>
      </c>
      <c r="AC203" s="121">
        <v>45717</v>
      </c>
      <c r="AD203" s="121">
        <v>46054</v>
      </c>
      <c r="AE203" s="34"/>
      <c r="AF203" s="115">
        <f t="shared" si="8"/>
        <v>337</v>
      </c>
      <c r="AG203" s="110" t="s">
        <v>611</v>
      </c>
      <c r="AH203" s="34">
        <v>33640</v>
      </c>
      <c r="AI203" s="43"/>
      <c r="AJ203" s="43"/>
      <c r="AK203" s="71">
        <v>9045</v>
      </c>
      <c r="AL203" s="44">
        <v>75140</v>
      </c>
      <c r="AM203" s="131">
        <f t="shared" si="7"/>
        <v>117825</v>
      </c>
      <c r="AN203" s="25" t="s">
        <v>55</v>
      </c>
    </row>
    <row r="204" spans="1:40" ht="30" customHeight="1">
      <c r="A204" s="162"/>
      <c r="B204" s="17">
        <v>203</v>
      </c>
      <c r="C204" s="89">
        <v>46077</v>
      </c>
      <c r="D204" s="16" t="s">
        <v>1055</v>
      </c>
      <c r="E204" s="16" t="s">
        <v>1056</v>
      </c>
      <c r="F204" s="16" t="s">
        <v>61</v>
      </c>
      <c r="G204" s="16" t="s">
        <v>202</v>
      </c>
      <c r="H204" s="16" t="s">
        <v>1057</v>
      </c>
      <c r="I204" s="90" t="s">
        <v>1058</v>
      </c>
      <c r="J204" s="16" t="s">
        <v>45</v>
      </c>
      <c r="K204" s="34" t="s">
        <v>1059</v>
      </c>
      <c r="L204" s="34" t="s">
        <v>1060</v>
      </c>
      <c r="M204" s="34" t="s">
        <v>378</v>
      </c>
      <c r="N204" s="34" t="s">
        <v>1061</v>
      </c>
      <c r="O204" s="34" t="s">
        <v>996</v>
      </c>
      <c r="P204" s="34" t="s">
        <v>46</v>
      </c>
      <c r="Q204" s="34" t="s">
        <v>1062</v>
      </c>
      <c r="R204" s="34" t="s">
        <v>48</v>
      </c>
      <c r="S204" s="34"/>
      <c r="U204" s="34"/>
      <c r="V204" s="34" t="s">
        <v>208</v>
      </c>
      <c r="W204" s="43">
        <v>9</v>
      </c>
      <c r="X204" s="43" t="s">
        <v>90</v>
      </c>
      <c r="Y204" s="34" t="s">
        <v>929</v>
      </c>
      <c r="Z204" s="34"/>
      <c r="AA204" s="34"/>
      <c r="AB204" s="34" t="s">
        <v>210</v>
      </c>
      <c r="AC204" s="121">
        <v>45870</v>
      </c>
      <c r="AD204" s="109">
        <v>46054</v>
      </c>
      <c r="AE204" s="34"/>
      <c r="AF204" s="16">
        <f t="shared" si="8"/>
        <v>184</v>
      </c>
      <c r="AG204" s="16" t="s">
        <v>85</v>
      </c>
      <c r="AH204" s="34">
        <v>2880</v>
      </c>
      <c r="AI204" s="34"/>
      <c r="AJ204" s="34"/>
      <c r="AK204" s="40">
        <v>9045</v>
      </c>
      <c r="AL204" s="44">
        <v>108782</v>
      </c>
      <c r="AM204" s="50">
        <f t="shared" si="7"/>
        <v>120707</v>
      </c>
      <c r="AN204" s="31" t="s">
        <v>132</v>
      </c>
    </row>
    <row r="205" spans="1:40" ht="30" customHeight="1">
      <c r="A205" s="161">
        <v>46084</v>
      </c>
      <c r="B205" s="17">
        <v>204</v>
      </c>
      <c r="C205" s="89">
        <v>46079</v>
      </c>
      <c r="D205" s="16" t="s">
        <v>1063</v>
      </c>
      <c r="E205" s="16" t="s">
        <v>1064</v>
      </c>
      <c r="F205" s="16" t="s">
        <v>388</v>
      </c>
      <c r="G205" s="16" t="s">
        <v>71</v>
      </c>
      <c r="H205" s="16" t="s">
        <v>1065</v>
      </c>
      <c r="I205" s="90" t="s">
        <v>1066</v>
      </c>
      <c r="J205" s="16" t="s">
        <v>57</v>
      </c>
      <c r="K205" s="34" t="s">
        <v>1067</v>
      </c>
      <c r="L205" s="34" t="s">
        <v>1068</v>
      </c>
      <c r="M205" s="34" t="s">
        <v>378</v>
      </c>
      <c r="N205" s="34" t="s">
        <v>724</v>
      </c>
      <c r="O205" s="34" t="s">
        <v>599</v>
      </c>
      <c r="P205" s="34" t="s">
        <v>46</v>
      </c>
      <c r="Q205" s="34" t="s">
        <v>248</v>
      </c>
      <c r="R205" s="34" t="s">
        <v>48</v>
      </c>
      <c r="S205" s="34"/>
      <c r="U205" s="34"/>
      <c r="V205" s="134" t="s">
        <v>249</v>
      </c>
      <c r="W205" s="34">
        <v>9276</v>
      </c>
      <c r="X205" s="135" t="s">
        <v>288</v>
      </c>
      <c r="Y205" s="34" t="s">
        <v>929</v>
      </c>
      <c r="Z205" s="34"/>
      <c r="AA205" s="34"/>
      <c r="AB205" s="55" t="s">
        <v>251</v>
      </c>
      <c r="AC205" s="136">
        <v>45809</v>
      </c>
      <c r="AD205" s="109">
        <v>46054</v>
      </c>
      <c r="AF205" s="16">
        <f t="shared" si="8"/>
        <v>245</v>
      </c>
      <c r="AG205" s="16" t="s">
        <v>85</v>
      </c>
      <c r="AH205" s="40">
        <v>80000</v>
      </c>
      <c r="AI205" s="40"/>
      <c r="AJ205" s="40"/>
      <c r="AK205" s="40">
        <v>9045</v>
      </c>
      <c r="AL205" s="44">
        <v>75140</v>
      </c>
      <c r="AM205" s="50">
        <f t="shared" si="7"/>
        <v>164185</v>
      </c>
      <c r="AN205" s="25" t="s">
        <v>55</v>
      </c>
    </row>
    <row r="206" spans="1:40" ht="30" customHeight="1">
      <c r="A206" s="162"/>
      <c r="B206" s="17">
        <v>205</v>
      </c>
      <c r="C206" s="89">
        <v>46080</v>
      </c>
      <c r="D206" s="16" t="s">
        <v>68</v>
      </c>
      <c r="E206" s="16" t="s">
        <v>883</v>
      </c>
      <c r="F206" s="16" t="s">
        <v>70</v>
      </c>
      <c r="G206" s="16" t="s">
        <v>202</v>
      </c>
      <c r="H206" s="16" t="s">
        <v>1069</v>
      </c>
      <c r="I206" s="16" t="s">
        <v>1070</v>
      </c>
      <c r="J206" s="16" t="s">
        <v>57</v>
      </c>
      <c r="K206" s="34" t="s">
        <v>1071</v>
      </c>
      <c r="L206" s="34" t="s">
        <v>1072</v>
      </c>
      <c r="M206" s="34" t="s">
        <v>378</v>
      </c>
      <c r="N206" s="34" t="s">
        <v>724</v>
      </c>
      <c r="O206" s="34" t="s">
        <v>599</v>
      </c>
      <c r="P206" s="34" t="s">
        <v>46</v>
      </c>
      <c r="Q206" s="34" t="s">
        <v>248</v>
      </c>
      <c r="R206" s="34" t="s">
        <v>48</v>
      </c>
      <c r="S206" s="34"/>
      <c r="U206" s="34"/>
      <c r="V206" s="134" t="s">
        <v>249</v>
      </c>
      <c r="W206" s="135">
        <v>19652</v>
      </c>
      <c r="X206" s="135" t="s">
        <v>107</v>
      </c>
      <c r="Y206" s="34" t="s">
        <v>929</v>
      </c>
      <c r="Z206" s="34"/>
      <c r="AA206" s="34"/>
      <c r="AB206" s="55" t="s">
        <v>251</v>
      </c>
      <c r="AC206" s="121">
        <v>45748</v>
      </c>
      <c r="AD206" s="109">
        <v>46054</v>
      </c>
      <c r="AF206" s="16">
        <f t="shared" si="8"/>
        <v>306</v>
      </c>
      <c r="AG206" s="110" t="s">
        <v>611</v>
      </c>
      <c r="AH206" s="34">
        <v>31480</v>
      </c>
      <c r="AI206" s="34"/>
      <c r="AJ206" s="34"/>
      <c r="AK206" s="40">
        <v>9045</v>
      </c>
      <c r="AL206" s="44">
        <v>75140</v>
      </c>
      <c r="AM206" s="50">
        <f t="shared" si="7"/>
        <v>115665</v>
      </c>
      <c r="AN206" s="25" t="s">
        <v>55</v>
      </c>
    </row>
    <row r="207" spans="1:40" s="138" customFormat="1" ht="30" customHeight="1">
      <c r="A207" s="162"/>
      <c r="B207" s="17">
        <v>206</v>
      </c>
      <c r="C207" s="137">
        <v>46081</v>
      </c>
      <c r="D207" s="92" t="s">
        <v>1073</v>
      </c>
      <c r="E207" s="92" t="s">
        <v>1074</v>
      </c>
      <c r="F207" s="92" t="s">
        <v>70</v>
      </c>
      <c r="G207" s="92" t="s">
        <v>202</v>
      </c>
      <c r="H207" s="92" t="s">
        <v>1075</v>
      </c>
      <c r="I207" s="92" t="s">
        <v>1076</v>
      </c>
      <c r="J207" s="92" t="s">
        <v>45</v>
      </c>
      <c r="K207" s="95" t="s">
        <v>1077</v>
      </c>
      <c r="L207" s="95" t="s">
        <v>1078</v>
      </c>
      <c r="M207" s="95" t="s">
        <v>378</v>
      </c>
      <c r="N207" s="95" t="s">
        <v>1079</v>
      </c>
      <c r="O207" s="95" t="s">
        <v>996</v>
      </c>
      <c r="P207" s="95" t="s">
        <v>46</v>
      </c>
      <c r="Q207" s="95" t="s">
        <v>1080</v>
      </c>
      <c r="R207" s="95" t="s">
        <v>48</v>
      </c>
      <c r="S207" s="95"/>
      <c r="T207" s="95"/>
      <c r="U207" s="95"/>
      <c r="V207" s="138" t="s">
        <v>1081</v>
      </c>
      <c r="W207" s="95">
        <v>55</v>
      </c>
      <c r="X207" s="95" t="s">
        <v>90</v>
      </c>
      <c r="Y207" s="139" t="s">
        <v>929</v>
      </c>
      <c r="Z207" s="95" t="s">
        <v>1082</v>
      </c>
      <c r="AA207" s="95"/>
      <c r="AB207" s="139" t="s">
        <v>210</v>
      </c>
      <c r="AC207" s="140">
        <v>45839</v>
      </c>
      <c r="AD207" s="140">
        <v>46054</v>
      </c>
      <c r="AF207" s="141">
        <f t="shared" si="8"/>
        <v>215</v>
      </c>
      <c r="AG207" s="92" t="s">
        <v>85</v>
      </c>
      <c r="AH207" s="95">
        <v>11080</v>
      </c>
      <c r="AI207" s="97">
        <f t="shared" ref="AI207:AI208" si="9">8*725</f>
        <v>5800</v>
      </c>
      <c r="AJ207" s="97">
        <f t="shared" ref="AJ207:AJ208" si="10">4.5*725</f>
        <v>3262.5</v>
      </c>
      <c r="AK207" s="96">
        <v>9062</v>
      </c>
      <c r="AL207" s="142">
        <v>108782</v>
      </c>
      <c r="AM207" s="143">
        <f t="shared" si="7"/>
        <v>128924</v>
      </c>
      <c r="AN207" s="31" t="s">
        <v>132</v>
      </c>
    </row>
    <row r="208" spans="1:40" ht="30" customHeight="1">
      <c r="A208" s="161">
        <v>46059</v>
      </c>
      <c r="B208" s="17">
        <v>207</v>
      </c>
      <c r="C208" s="89">
        <v>46085</v>
      </c>
      <c r="D208" s="16" t="s">
        <v>1083</v>
      </c>
      <c r="E208" s="16" t="s">
        <v>1084</v>
      </c>
      <c r="F208" s="16" t="s">
        <v>92</v>
      </c>
      <c r="G208" s="16" t="s">
        <v>459</v>
      </c>
      <c r="H208" s="16" t="s">
        <v>1085</v>
      </c>
      <c r="I208" s="16" t="s">
        <v>1086</v>
      </c>
      <c r="J208" s="16" t="s">
        <v>1087</v>
      </c>
      <c r="K208" s="34" t="s">
        <v>1088</v>
      </c>
      <c r="L208" s="34" t="s">
        <v>1089</v>
      </c>
      <c r="M208" s="34"/>
      <c r="N208" s="34"/>
      <c r="O208" s="34" t="s">
        <v>996</v>
      </c>
      <c r="P208" s="34" t="s">
        <v>46</v>
      </c>
      <c r="Q208" s="34"/>
      <c r="R208" s="34"/>
      <c r="S208" s="34"/>
      <c r="U208" s="34"/>
      <c r="V208" s="20" t="s">
        <v>454</v>
      </c>
      <c r="W208" s="34">
        <v>179</v>
      </c>
      <c r="X208" s="135" t="s">
        <v>90</v>
      </c>
      <c r="Y208" s="34" t="s">
        <v>929</v>
      </c>
      <c r="Z208" s="34"/>
      <c r="AA208" s="34"/>
      <c r="AB208" s="34" t="s">
        <v>210</v>
      </c>
      <c r="AC208" s="109">
        <v>46023</v>
      </c>
      <c r="AD208" s="109">
        <v>46082</v>
      </c>
      <c r="AE208" s="34"/>
      <c r="AF208" s="16">
        <f t="shared" si="8"/>
        <v>59</v>
      </c>
      <c r="AG208" s="16" t="s">
        <v>101</v>
      </c>
      <c r="AH208" s="34">
        <v>14720</v>
      </c>
      <c r="AI208" s="20">
        <f t="shared" si="9"/>
        <v>5800</v>
      </c>
      <c r="AJ208" s="20">
        <f t="shared" si="10"/>
        <v>3262.5</v>
      </c>
      <c r="AK208" s="40">
        <v>9062</v>
      </c>
      <c r="AL208" s="130">
        <v>108782</v>
      </c>
      <c r="AM208" s="131">
        <f t="shared" si="7"/>
        <v>132564</v>
      </c>
      <c r="AN208" s="31" t="s">
        <v>132</v>
      </c>
    </row>
    <row r="209" spans="1:40" ht="30" customHeight="1">
      <c r="A209" s="162"/>
      <c r="B209" s="17">
        <v>208</v>
      </c>
      <c r="C209" s="89">
        <v>46086</v>
      </c>
      <c r="D209" s="16" t="s">
        <v>754</v>
      </c>
      <c r="E209" s="16" t="s">
        <v>1090</v>
      </c>
      <c r="F209" s="16" t="s">
        <v>92</v>
      </c>
      <c r="G209" s="16" t="s">
        <v>459</v>
      </c>
      <c r="H209" s="16" t="s">
        <v>1091</v>
      </c>
      <c r="I209" s="90" t="s">
        <v>1092</v>
      </c>
      <c r="J209" s="16" t="s">
        <v>57</v>
      </c>
      <c r="K209" s="34" t="s">
        <v>1093</v>
      </c>
      <c r="L209" s="34" t="s">
        <v>758</v>
      </c>
      <c r="M209" s="34"/>
      <c r="N209" s="34"/>
      <c r="O209" s="34" t="s">
        <v>599</v>
      </c>
      <c r="P209" s="34" t="s">
        <v>46</v>
      </c>
      <c r="Q209" s="34"/>
      <c r="R209" s="34"/>
      <c r="S209" s="34"/>
      <c r="U209" s="34"/>
      <c r="V209" s="34" t="s">
        <v>249</v>
      </c>
      <c r="W209" s="34">
        <v>17147</v>
      </c>
      <c r="X209" s="135" t="s">
        <v>107</v>
      </c>
      <c r="Y209" s="34" t="s">
        <v>929</v>
      </c>
      <c r="Z209" s="34"/>
      <c r="AA209" s="34"/>
      <c r="AB209" s="55" t="s">
        <v>251</v>
      </c>
      <c r="AC209" s="109">
        <v>45689</v>
      </c>
      <c r="AD209" s="109">
        <v>46082</v>
      </c>
      <c r="AE209" s="34"/>
      <c r="AF209" s="16">
        <f t="shared" si="8"/>
        <v>393</v>
      </c>
      <c r="AG209" s="110" t="s">
        <v>611</v>
      </c>
      <c r="AH209" s="34">
        <v>6120</v>
      </c>
      <c r="AI209" s="34"/>
      <c r="AJ209" s="34"/>
      <c r="AK209" s="40">
        <v>9045</v>
      </c>
      <c r="AL209" s="44">
        <v>75140</v>
      </c>
      <c r="AM209" s="131">
        <f t="shared" si="7"/>
        <v>90305</v>
      </c>
      <c r="AN209" s="25" t="s">
        <v>55</v>
      </c>
    </row>
    <row r="210" spans="1:40" ht="30" customHeight="1">
      <c r="A210" s="162"/>
      <c r="B210" s="17">
        <v>209</v>
      </c>
      <c r="C210" s="89">
        <v>46086</v>
      </c>
      <c r="D210" s="16" t="s">
        <v>754</v>
      </c>
      <c r="E210" s="16" t="s">
        <v>1090</v>
      </c>
      <c r="F210" s="16" t="s">
        <v>92</v>
      </c>
      <c r="G210" s="16" t="s">
        <v>459</v>
      </c>
      <c r="H210" s="16" t="s">
        <v>1094</v>
      </c>
      <c r="I210" s="90" t="s">
        <v>1095</v>
      </c>
      <c r="J210" s="16" t="s">
        <v>45</v>
      </c>
      <c r="K210" s="34" t="s">
        <v>1096</v>
      </c>
      <c r="L210" s="34" t="s">
        <v>758</v>
      </c>
      <c r="M210" s="34"/>
      <c r="N210" s="34"/>
      <c r="O210" s="34" t="s">
        <v>599</v>
      </c>
      <c r="P210" s="34" t="s">
        <v>46</v>
      </c>
      <c r="Q210" s="34"/>
      <c r="R210" s="34"/>
      <c r="S210" s="34"/>
      <c r="U210" s="34"/>
      <c r="V210" s="34" t="s">
        <v>249</v>
      </c>
      <c r="W210" s="34">
        <v>3460</v>
      </c>
      <c r="X210" s="135" t="s">
        <v>94</v>
      </c>
      <c r="Y210" s="34" t="s">
        <v>929</v>
      </c>
      <c r="Z210" s="34"/>
      <c r="AA210" s="34"/>
      <c r="AB210" s="55" t="s">
        <v>251</v>
      </c>
      <c r="AC210" s="109">
        <v>45839</v>
      </c>
      <c r="AD210" s="109">
        <v>46082</v>
      </c>
      <c r="AE210" s="34"/>
      <c r="AF210" s="115">
        <f t="shared" si="8"/>
        <v>243</v>
      </c>
      <c r="AG210" s="16" t="s">
        <v>85</v>
      </c>
      <c r="AH210" s="34">
        <v>6120</v>
      </c>
      <c r="AI210" s="34"/>
      <c r="AJ210" s="34"/>
      <c r="AK210" s="40">
        <v>9045</v>
      </c>
      <c r="AL210" s="44">
        <v>75140</v>
      </c>
      <c r="AM210" s="50">
        <f t="shared" si="7"/>
        <v>90305</v>
      </c>
      <c r="AN210" s="25" t="s">
        <v>55</v>
      </c>
    </row>
    <row r="211" spans="1:40" ht="30" customHeight="1">
      <c r="A211" s="162"/>
      <c r="B211" s="17">
        <v>210</v>
      </c>
      <c r="C211" s="89">
        <v>46086</v>
      </c>
      <c r="D211" s="16" t="s">
        <v>930</v>
      </c>
      <c r="E211" s="16" t="s">
        <v>1097</v>
      </c>
      <c r="F211" s="16" t="s">
        <v>148</v>
      </c>
      <c r="G211" s="16" t="s">
        <v>71</v>
      </c>
      <c r="H211" s="16" t="s">
        <v>1098</v>
      </c>
      <c r="I211" s="90" t="s">
        <v>1099</v>
      </c>
      <c r="J211" s="16" t="s">
        <v>57</v>
      </c>
      <c r="K211" s="34" t="s">
        <v>1100</v>
      </c>
      <c r="L211" s="34" t="s">
        <v>1101</v>
      </c>
      <c r="M211" s="34"/>
      <c r="N211" s="34"/>
      <c r="O211" s="34" t="s">
        <v>599</v>
      </c>
      <c r="P211" s="34" t="s">
        <v>46</v>
      </c>
      <c r="Q211" s="34"/>
      <c r="R211" s="34"/>
      <c r="S211" s="34"/>
      <c r="U211" s="34"/>
      <c r="V211" s="34" t="s">
        <v>249</v>
      </c>
      <c r="W211" s="34">
        <v>3332</v>
      </c>
      <c r="X211" s="135" t="s">
        <v>94</v>
      </c>
      <c r="Y211" s="34" t="s">
        <v>929</v>
      </c>
      <c r="Z211" s="34"/>
      <c r="AA211" s="34"/>
      <c r="AB211" s="55" t="s">
        <v>251</v>
      </c>
      <c r="AC211" s="109">
        <v>45809</v>
      </c>
      <c r="AD211" s="109">
        <v>46082</v>
      </c>
      <c r="AE211" s="34"/>
      <c r="AF211" s="16">
        <f t="shared" si="8"/>
        <v>273</v>
      </c>
      <c r="AG211" s="110" t="s">
        <v>611</v>
      </c>
      <c r="AH211" s="34">
        <v>80000</v>
      </c>
      <c r="AI211" s="34"/>
      <c r="AJ211" s="34"/>
      <c r="AK211" s="40">
        <v>9045</v>
      </c>
      <c r="AL211" s="44">
        <v>75140</v>
      </c>
      <c r="AM211" s="131">
        <f t="shared" si="7"/>
        <v>164185</v>
      </c>
      <c r="AN211" s="25" t="s">
        <v>55</v>
      </c>
    </row>
    <row r="212" spans="1:40" ht="30" customHeight="1">
      <c r="A212" s="161">
        <v>46090</v>
      </c>
      <c r="B212" s="17">
        <v>211</v>
      </c>
      <c r="C212" s="89">
        <v>46088</v>
      </c>
      <c r="D212" s="16" t="s">
        <v>1102</v>
      </c>
      <c r="E212" s="16" t="s">
        <v>1103</v>
      </c>
      <c r="F212" s="16" t="s">
        <v>388</v>
      </c>
      <c r="G212" s="16" t="s">
        <v>71</v>
      </c>
      <c r="H212" s="16" t="s">
        <v>1104</v>
      </c>
      <c r="I212" s="90" t="s">
        <v>1105</v>
      </c>
      <c r="J212" s="16" t="s">
        <v>57</v>
      </c>
      <c r="K212" s="34" t="s">
        <v>1106</v>
      </c>
      <c r="L212" s="34" t="s">
        <v>1107</v>
      </c>
      <c r="M212" s="34"/>
      <c r="N212" s="34"/>
      <c r="O212" s="34" t="s">
        <v>599</v>
      </c>
      <c r="P212" s="34" t="s">
        <v>46</v>
      </c>
      <c r="Q212" s="34"/>
      <c r="R212" s="34"/>
      <c r="S212" s="34"/>
      <c r="U212" s="34"/>
      <c r="V212" s="34" t="s">
        <v>249</v>
      </c>
      <c r="W212" s="135">
        <v>30491</v>
      </c>
      <c r="X212" s="135" t="s">
        <v>844</v>
      </c>
      <c r="Y212" s="34" t="s">
        <v>929</v>
      </c>
      <c r="Z212" s="34"/>
      <c r="AA212" s="34"/>
      <c r="AB212" s="55" t="s">
        <v>251</v>
      </c>
      <c r="AC212" s="144">
        <v>45778</v>
      </c>
      <c r="AD212" s="109">
        <v>46082</v>
      </c>
      <c r="AE212" s="34"/>
      <c r="AF212" s="16">
        <f t="shared" si="8"/>
        <v>304</v>
      </c>
      <c r="AG212" s="110" t="s">
        <v>611</v>
      </c>
      <c r="AH212" s="34">
        <v>80000</v>
      </c>
      <c r="AI212" s="34"/>
      <c r="AJ212" s="34"/>
      <c r="AK212" s="40">
        <v>9045</v>
      </c>
      <c r="AL212" s="44">
        <v>75140</v>
      </c>
      <c r="AM212" s="131">
        <f t="shared" si="7"/>
        <v>164185</v>
      </c>
      <c r="AN212" s="25" t="s">
        <v>55</v>
      </c>
    </row>
    <row r="213" spans="1:40" ht="30" customHeight="1">
      <c r="A213" s="162"/>
      <c r="B213" s="17">
        <v>212</v>
      </c>
      <c r="C213" s="89">
        <v>46088</v>
      </c>
      <c r="D213" s="16" t="s">
        <v>1108</v>
      </c>
      <c r="E213" s="16" t="s">
        <v>1109</v>
      </c>
      <c r="F213" s="16" t="s">
        <v>116</v>
      </c>
      <c r="G213" s="16" t="s">
        <v>589</v>
      </c>
      <c r="H213" s="16" t="s">
        <v>1110</v>
      </c>
      <c r="I213" s="90" t="s">
        <v>1111</v>
      </c>
      <c r="J213" s="16" t="s">
        <v>57</v>
      </c>
      <c r="K213" s="34" t="s">
        <v>981</v>
      </c>
      <c r="L213" s="34" t="s">
        <v>1112</v>
      </c>
      <c r="M213" s="34"/>
      <c r="N213" s="34"/>
      <c r="O213" s="34" t="s">
        <v>599</v>
      </c>
      <c r="P213" s="34" t="s">
        <v>46</v>
      </c>
      <c r="Q213" s="34"/>
      <c r="R213" s="34"/>
      <c r="S213" s="34"/>
      <c r="U213" s="34"/>
      <c r="V213" s="34" t="s">
        <v>249</v>
      </c>
      <c r="W213" s="135">
        <v>18320</v>
      </c>
      <c r="X213" s="135" t="s">
        <v>107</v>
      </c>
      <c r="Y213" s="34" t="s">
        <v>929</v>
      </c>
      <c r="Z213" s="34"/>
      <c r="AA213" s="34"/>
      <c r="AB213" s="55" t="s">
        <v>251</v>
      </c>
      <c r="AC213" s="144">
        <v>45717</v>
      </c>
      <c r="AD213" s="109">
        <v>46082</v>
      </c>
      <c r="AE213" s="34"/>
      <c r="AF213" s="16">
        <f t="shared" si="8"/>
        <v>365</v>
      </c>
      <c r="AG213" s="110" t="s">
        <v>611</v>
      </c>
      <c r="AH213" s="34">
        <v>12840</v>
      </c>
      <c r="AI213" s="34"/>
      <c r="AJ213" s="34"/>
      <c r="AK213" s="40">
        <v>9045</v>
      </c>
      <c r="AL213" s="44">
        <v>75140</v>
      </c>
      <c r="AM213" s="131">
        <f t="shared" si="7"/>
        <v>97025</v>
      </c>
      <c r="AN213" s="25" t="s">
        <v>55</v>
      </c>
    </row>
    <row r="214" spans="1:40" ht="30" customHeight="1">
      <c r="A214" s="89">
        <v>46091</v>
      </c>
      <c r="B214" s="17">
        <v>213</v>
      </c>
      <c r="C214" s="89">
        <v>46090</v>
      </c>
      <c r="D214" s="16" t="s">
        <v>1113</v>
      </c>
      <c r="E214" s="16" t="s">
        <v>832</v>
      </c>
      <c r="F214" s="16" t="s">
        <v>244</v>
      </c>
      <c r="G214" s="16" t="s">
        <v>71</v>
      </c>
      <c r="H214" s="16" t="s">
        <v>1114</v>
      </c>
      <c r="I214" s="92" t="s">
        <v>1115</v>
      </c>
      <c r="J214" s="16" t="s">
        <v>57</v>
      </c>
      <c r="K214" s="34" t="s">
        <v>981</v>
      </c>
      <c r="L214" s="34" t="s">
        <v>1116</v>
      </c>
      <c r="M214" s="34"/>
      <c r="N214" s="34"/>
      <c r="O214" s="34" t="s">
        <v>599</v>
      </c>
      <c r="P214" s="34" t="s">
        <v>46</v>
      </c>
      <c r="Q214" s="34"/>
      <c r="R214" s="34"/>
      <c r="S214" s="34"/>
      <c r="U214" s="34"/>
      <c r="V214" s="34" t="s">
        <v>249</v>
      </c>
      <c r="W214" s="135">
        <v>10742</v>
      </c>
      <c r="X214" s="135" t="s">
        <v>67</v>
      </c>
      <c r="Y214" s="34" t="s">
        <v>929</v>
      </c>
      <c r="Z214" s="34" t="s">
        <v>1117</v>
      </c>
      <c r="AA214" s="34"/>
      <c r="AB214" s="55" t="s">
        <v>251</v>
      </c>
      <c r="AC214" s="144">
        <v>45778</v>
      </c>
      <c r="AD214" s="109">
        <v>46082</v>
      </c>
      <c r="AE214" s="34"/>
      <c r="AF214" s="16">
        <f t="shared" si="8"/>
        <v>304</v>
      </c>
      <c r="AG214" s="110" t="s">
        <v>611</v>
      </c>
      <c r="AH214" s="34">
        <v>80000</v>
      </c>
      <c r="AI214" s="34"/>
      <c r="AJ214" s="34"/>
      <c r="AK214" s="40">
        <v>9045</v>
      </c>
      <c r="AL214" s="44">
        <v>75140</v>
      </c>
      <c r="AM214" s="131">
        <f t="shared" si="7"/>
        <v>164185</v>
      </c>
      <c r="AN214" s="25" t="s">
        <v>55</v>
      </c>
    </row>
    <row r="215" spans="1:40" ht="30" customHeight="1">
      <c r="A215" s="161">
        <v>46092</v>
      </c>
      <c r="B215" s="17">
        <v>214</v>
      </c>
      <c r="C215" s="89">
        <v>46091</v>
      </c>
      <c r="D215" s="16" t="s">
        <v>1118</v>
      </c>
      <c r="E215" s="16" t="s">
        <v>1090</v>
      </c>
      <c r="F215" s="16" t="s">
        <v>92</v>
      </c>
      <c r="G215" s="16" t="s">
        <v>459</v>
      </c>
      <c r="H215" s="16" t="s">
        <v>1119</v>
      </c>
      <c r="I215" s="90" t="s">
        <v>1120</v>
      </c>
      <c r="J215" s="16" t="s">
        <v>57</v>
      </c>
      <c r="K215" s="34" t="s">
        <v>1121</v>
      </c>
      <c r="L215" s="34" t="s">
        <v>1122</v>
      </c>
      <c r="M215" s="34"/>
      <c r="N215" s="34"/>
      <c r="O215" s="34" t="s">
        <v>599</v>
      </c>
      <c r="P215" s="34" t="s">
        <v>46</v>
      </c>
      <c r="Q215" s="34"/>
      <c r="R215" s="34"/>
      <c r="S215" s="34"/>
      <c r="U215" s="34"/>
      <c r="V215" s="34" t="s">
        <v>249</v>
      </c>
      <c r="W215" s="135">
        <v>6013</v>
      </c>
      <c r="X215" s="135" t="s">
        <v>97</v>
      </c>
      <c r="Y215" s="34" t="s">
        <v>929</v>
      </c>
      <c r="Z215" s="34" t="s">
        <v>1123</v>
      </c>
      <c r="AA215" s="34"/>
      <c r="AB215" s="55" t="s">
        <v>251</v>
      </c>
      <c r="AC215" s="144">
        <v>45778</v>
      </c>
      <c r="AD215" s="109">
        <v>46082</v>
      </c>
      <c r="AE215" s="34"/>
      <c r="AF215" s="16">
        <f t="shared" si="8"/>
        <v>304</v>
      </c>
      <c r="AG215" s="110" t="s">
        <v>611</v>
      </c>
      <c r="AH215" s="34">
        <v>6000</v>
      </c>
      <c r="AI215" s="34"/>
      <c r="AJ215" s="34"/>
      <c r="AK215" s="40">
        <v>9045</v>
      </c>
      <c r="AL215" s="44">
        <v>75140</v>
      </c>
      <c r="AM215" s="131">
        <f t="shared" si="7"/>
        <v>90185</v>
      </c>
      <c r="AN215" s="25" t="s">
        <v>55</v>
      </c>
    </row>
    <row r="216" spans="1:40" ht="30" customHeight="1">
      <c r="A216" s="163"/>
      <c r="B216" s="17">
        <v>215</v>
      </c>
      <c r="C216" s="127">
        <v>46091</v>
      </c>
      <c r="D216" s="115" t="s">
        <v>1124</v>
      </c>
      <c r="E216" s="115" t="s">
        <v>1125</v>
      </c>
      <c r="F216" s="115" t="s">
        <v>148</v>
      </c>
      <c r="G216" s="115" t="s">
        <v>71</v>
      </c>
      <c r="H216" s="115" t="s">
        <v>1126</v>
      </c>
      <c r="I216" s="128" t="s">
        <v>1127</v>
      </c>
      <c r="J216" s="115" t="s">
        <v>45</v>
      </c>
      <c r="K216" s="43" t="s">
        <v>1128</v>
      </c>
      <c r="L216" s="43" t="s">
        <v>1129</v>
      </c>
      <c r="M216" s="43"/>
      <c r="N216" s="43"/>
      <c r="O216" s="43" t="s">
        <v>599</v>
      </c>
      <c r="P216" s="43" t="s">
        <v>46</v>
      </c>
      <c r="Q216" s="43"/>
      <c r="R216" s="43"/>
      <c r="S216" s="43"/>
      <c r="T216" s="43"/>
      <c r="U216" s="43"/>
      <c r="V216" s="43" t="s">
        <v>249</v>
      </c>
      <c r="W216" s="145">
        <v>3572</v>
      </c>
      <c r="X216" s="145" t="s">
        <v>94</v>
      </c>
      <c r="Y216" s="43" t="s">
        <v>929</v>
      </c>
      <c r="Z216" s="43" t="s">
        <v>1123</v>
      </c>
      <c r="AA216" s="43"/>
      <c r="AB216" s="55" t="s">
        <v>251</v>
      </c>
      <c r="AC216" s="146">
        <v>45809</v>
      </c>
      <c r="AD216" s="121">
        <v>46082</v>
      </c>
      <c r="AE216" s="43"/>
      <c r="AF216" s="115">
        <f t="shared" si="8"/>
        <v>273</v>
      </c>
      <c r="AG216" s="110" t="s">
        <v>611</v>
      </c>
      <c r="AH216" s="43">
        <v>80000</v>
      </c>
      <c r="AI216" s="43"/>
      <c r="AJ216" s="43"/>
      <c r="AK216" s="40">
        <v>9045</v>
      </c>
      <c r="AL216" s="130">
        <v>75140</v>
      </c>
      <c r="AM216" s="131">
        <f t="shared" si="7"/>
        <v>164185</v>
      </c>
      <c r="AN216" s="25" t="s">
        <v>55</v>
      </c>
    </row>
    <row r="217" spans="1:40" ht="30" customHeight="1">
      <c r="A217" s="161">
        <v>46094</v>
      </c>
      <c r="B217" s="17">
        <v>216</v>
      </c>
      <c r="C217" s="89">
        <v>46092</v>
      </c>
      <c r="D217" s="16" t="s">
        <v>1130</v>
      </c>
      <c r="E217" s="16" t="s">
        <v>1131</v>
      </c>
      <c r="F217" s="16" t="s">
        <v>148</v>
      </c>
      <c r="G217" s="16" t="s">
        <v>71</v>
      </c>
      <c r="H217" s="16" t="s">
        <v>1132</v>
      </c>
      <c r="I217" s="92" t="s">
        <v>1133</v>
      </c>
      <c r="J217" s="16" t="s">
        <v>57</v>
      </c>
      <c r="K217" s="34" t="s">
        <v>1134</v>
      </c>
      <c r="L217" s="34" t="s">
        <v>1135</v>
      </c>
      <c r="M217" s="34"/>
      <c r="N217" s="34"/>
      <c r="O217" s="34"/>
      <c r="P217" s="34"/>
      <c r="Q217" s="34"/>
      <c r="R217" s="34"/>
      <c r="S217" s="34"/>
      <c r="U217" s="34"/>
      <c r="V217" s="147" t="s">
        <v>567</v>
      </c>
      <c r="W217" s="135">
        <v>5670</v>
      </c>
      <c r="X217" s="135" t="s">
        <v>64</v>
      </c>
      <c r="Y217" s="43" t="s">
        <v>929</v>
      </c>
      <c r="Z217" s="34" t="s">
        <v>1136</v>
      </c>
      <c r="AA217" s="34"/>
      <c r="AB217" s="34" t="s">
        <v>131</v>
      </c>
      <c r="AC217" s="144">
        <v>45931</v>
      </c>
      <c r="AD217" s="109">
        <v>46082</v>
      </c>
      <c r="AE217" s="34"/>
      <c r="AF217" s="16">
        <f t="shared" si="8"/>
        <v>151</v>
      </c>
      <c r="AG217" s="16" t="s">
        <v>54</v>
      </c>
      <c r="AH217" s="34">
        <v>80000</v>
      </c>
      <c r="AI217" s="34"/>
      <c r="AJ217" s="34"/>
      <c r="AK217" s="40">
        <v>9045</v>
      </c>
      <c r="AL217" s="44">
        <v>11200</v>
      </c>
      <c r="AM217" s="44">
        <f>AH217+AK217+AL217</f>
        <v>100245</v>
      </c>
      <c r="AN217" s="25" t="s">
        <v>55</v>
      </c>
    </row>
    <row r="218" spans="1:40" ht="30" customHeight="1">
      <c r="A218" s="162"/>
      <c r="B218" s="17">
        <v>217</v>
      </c>
      <c r="C218" s="89">
        <v>46093</v>
      </c>
      <c r="D218" s="16" t="s">
        <v>1137</v>
      </c>
      <c r="E218" s="16" t="s">
        <v>1138</v>
      </c>
      <c r="F218" s="16" t="s">
        <v>458</v>
      </c>
      <c r="G218" s="16" t="s">
        <v>43</v>
      </c>
      <c r="H218" s="16" t="s">
        <v>1139</v>
      </c>
      <c r="I218" s="92" t="s">
        <v>1140</v>
      </c>
      <c r="J218" s="16" t="s">
        <v>57</v>
      </c>
      <c r="K218" s="34" t="s">
        <v>1141</v>
      </c>
      <c r="L218" s="34" t="s">
        <v>1142</v>
      </c>
      <c r="M218" s="34"/>
      <c r="N218" s="34"/>
      <c r="O218" s="34"/>
      <c r="P218" s="34"/>
      <c r="Q218" s="34"/>
      <c r="R218" s="34"/>
      <c r="S218" s="34"/>
      <c r="U218" s="34"/>
      <c r="V218" s="43" t="s">
        <v>249</v>
      </c>
      <c r="W218" s="135">
        <v>11146</v>
      </c>
      <c r="X218" s="135" t="s">
        <v>67</v>
      </c>
      <c r="Y218" s="43" t="s">
        <v>929</v>
      </c>
      <c r="Z218" s="34" t="s">
        <v>1143</v>
      </c>
      <c r="AA218" s="34"/>
      <c r="AB218" s="55" t="s">
        <v>251</v>
      </c>
      <c r="AC218" s="144">
        <v>45778</v>
      </c>
      <c r="AD218" s="121">
        <v>46082</v>
      </c>
      <c r="AE218" s="34"/>
      <c r="AF218" s="16">
        <f t="shared" si="8"/>
        <v>304</v>
      </c>
      <c r="AG218" s="110" t="s">
        <v>611</v>
      </c>
      <c r="AH218" s="34">
        <v>0</v>
      </c>
      <c r="AI218" s="34"/>
      <c r="AJ218" s="34"/>
      <c r="AK218" s="40">
        <v>9045</v>
      </c>
      <c r="AL218" s="34">
        <v>0</v>
      </c>
      <c r="AM218" s="131">
        <f t="shared" si="7"/>
        <v>9045</v>
      </c>
      <c r="AN218" s="25" t="s">
        <v>55</v>
      </c>
    </row>
    <row r="219" spans="1:40" ht="30" customHeight="1">
      <c r="A219" s="162"/>
      <c r="B219" s="17">
        <v>218</v>
      </c>
      <c r="C219" s="89">
        <v>46093</v>
      </c>
      <c r="D219" s="16" t="s">
        <v>527</v>
      </c>
      <c r="E219" s="16" t="s">
        <v>1013</v>
      </c>
      <c r="F219" s="16" t="s">
        <v>388</v>
      </c>
      <c r="G219" s="16" t="s">
        <v>71</v>
      </c>
      <c r="H219" s="16" t="s">
        <v>1144</v>
      </c>
      <c r="I219" s="90" t="s">
        <v>1145</v>
      </c>
      <c r="J219" s="16" t="s">
        <v>57</v>
      </c>
      <c r="K219" s="34" t="s">
        <v>1146</v>
      </c>
      <c r="L219" s="34" t="s">
        <v>1017</v>
      </c>
      <c r="M219" s="34"/>
      <c r="N219" s="34"/>
      <c r="O219" s="34"/>
      <c r="P219" s="34"/>
      <c r="Q219" s="20" t="s">
        <v>988</v>
      </c>
      <c r="R219" s="34" t="s">
        <v>48</v>
      </c>
      <c r="S219" s="34"/>
      <c r="U219" s="34"/>
      <c r="V219" s="147" t="s">
        <v>1147</v>
      </c>
      <c r="W219" s="135">
        <v>16598</v>
      </c>
      <c r="X219" s="135" t="s">
        <v>107</v>
      </c>
      <c r="Y219" s="34" t="s">
        <v>141</v>
      </c>
      <c r="Z219" s="34"/>
      <c r="AA219" s="34"/>
      <c r="AB219" s="34" t="s">
        <v>139</v>
      </c>
      <c r="AC219" s="144">
        <v>45931</v>
      </c>
      <c r="AD219" s="109">
        <v>46082</v>
      </c>
      <c r="AE219" s="34"/>
      <c r="AF219" s="16">
        <f t="shared" si="8"/>
        <v>151</v>
      </c>
      <c r="AG219" s="16" t="s">
        <v>54</v>
      </c>
      <c r="AH219" s="40">
        <v>0</v>
      </c>
      <c r="AI219" s="40"/>
      <c r="AJ219" s="40"/>
      <c r="AK219" s="40">
        <v>5945</v>
      </c>
      <c r="AL219" s="44">
        <v>1038640.9600000001</v>
      </c>
      <c r="AM219" s="44">
        <f t="shared" si="7"/>
        <v>1044585.9600000001</v>
      </c>
      <c r="AN219" s="31" t="s">
        <v>132</v>
      </c>
    </row>
    <row r="220" spans="1:40" ht="30" customHeight="1">
      <c r="A220" s="162"/>
      <c r="B220" s="17">
        <v>219</v>
      </c>
      <c r="C220" s="89">
        <v>46093</v>
      </c>
      <c r="D220" s="16" t="s">
        <v>1148</v>
      </c>
      <c r="E220" s="16" t="s">
        <v>1149</v>
      </c>
      <c r="F220" s="16" t="s">
        <v>458</v>
      </c>
      <c r="G220" s="16" t="s">
        <v>43</v>
      </c>
      <c r="H220" s="16" t="s">
        <v>1150</v>
      </c>
      <c r="I220" s="16" t="s">
        <v>1151</v>
      </c>
      <c r="J220" s="16" t="s">
        <v>57</v>
      </c>
      <c r="K220" s="34" t="s">
        <v>1152</v>
      </c>
      <c r="L220" s="34" t="s">
        <v>1153</v>
      </c>
      <c r="M220" s="34"/>
      <c r="N220" s="34"/>
      <c r="O220" s="34"/>
      <c r="P220" s="34"/>
      <c r="Q220" s="34"/>
      <c r="R220" s="34"/>
      <c r="S220" s="34"/>
      <c r="U220" s="34"/>
      <c r="V220" s="43" t="s">
        <v>249</v>
      </c>
      <c r="W220" s="135">
        <v>9491</v>
      </c>
      <c r="X220" s="135" t="s">
        <v>288</v>
      </c>
      <c r="Y220" s="43" t="s">
        <v>929</v>
      </c>
      <c r="Z220" s="34"/>
      <c r="AA220" s="34"/>
      <c r="AB220" s="55" t="s">
        <v>251</v>
      </c>
      <c r="AC220" s="144">
        <v>45778</v>
      </c>
      <c r="AD220" s="121">
        <v>46082</v>
      </c>
      <c r="AE220" s="34"/>
      <c r="AF220" s="16">
        <f t="shared" si="8"/>
        <v>304</v>
      </c>
      <c r="AG220" s="110" t="s">
        <v>611</v>
      </c>
      <c r="AH220" s="34">
        <v>0</v>
      </c>
      <c r="AI220" s="34"/>
      <c r="AJ220" s="34"/>
      <c r="AK220" s="40">
        <v>9045</v>
      </c>
      <c r="AL220" s="34">
        <v>0</v>
      </c>
      <c r="AM220" s="131">
        <f t="shared" si="7"/>
        <v>9045</v>
      </c>
      <c r="AN220" s="25" t="s">
        <v>55</v>
      </c>
    </row>
    <row r="221" spans="1:40" ht="30" customHeight="1">
      <c r="A221" s="162"/>
      <c r="B221" s="17">
        <v>220</v>
      </c>
      <c r="C221" s="89">
        <v>46094</v>
      </c>
      <c r="D221" s="16" t="s">
        <v>1023</v>
      </c>
      <c r="E221" s="16" t="s">
        <v>1024</v>
      </c>
      <c r="F221" s="16" t="s">
        <v>388</v>
      </c>
      <c r="G221" s="16" t="s">
        <v>43</v>
      </c>
      <c r="H221" s="16" t="s">
        <v>1154</v>
      </c>
      <c r="I221" s="92" t="s">
        <v>1155</v>
      </c>
      <c r="J221" s="16" t="s">
        <v>57</v>
      </c>
      <c r="K221" s="34" t="s">
        <v>778</v>
      </c>
      <c r="L221" s="34" t="s">
        <v>1156</v>
      </c>
      <c r="M221" s="34"/>
      <c r="N221" s="34"/>
      <c r="O221" s="34"/>
      <c r="P221" s="34"/>
      <c r="Q221" s="34"/>
      <c r="R221" s="34"/>
      <c r="S221" s="34"/>
      <c r="U221" s="34"/>
      <c r="V221" s="43" t="s">
        <v>249</v>
      </c>
      <c r="W221" s="135">
        <v>22127</v>
      </c>
      <c r="X221" s="135" t="s">
        <v>708</v>
      </c>
      <c r="Y221" s="43" t="s">
        <v>929</v>
      </c>
      <c r="Z221" s="34" t="s">
        <v>1157</v>
      </c>
      <c r="AA221" s="34"/>
      <c r="AB221" s="55" t="s">
        <v>251</v>
      </c>
      <c r="AC221" s="144">
        <v>45778</v>
      </c>
      <c r="AD221" s="109">
        <v>46082</v>
      </c>
      <c r="AE221" s="34"/>
      <c r="AF221" s="16">
        <f t="shared" si="8"/>
        <v>304</v>
      </c>
      <c r="AG221" s="110" t="s">
        <v>611</v>
      </c>
      <c r="AH221" s="34">
        <v>0</v>
      </c>
      <c r="AI221" s="34"/>
      <c r="AJ221" s="34"/>
      <c r="AK221" s="40">
        <v>9045</v>
      </c>
      <c r="AL221" s="34">
        <v>0</v>
      </c>
      <c r="AM221" s="131">
        <f t="shared" si="7"/>
        <v>9045</v>
      </c>
      <c r="AN221" s="25" t="s">
        <v>55</v>
      </c>
    </row>
    <row r="222" spans="1:40" ht="30" customHeight="1">
      <c r="A222" s="162"/>
      <c r="B222" s="17">
        <v>221</v>
      </c>
      <c r="C222" s="89">
        <v>46094</v>
      </c>
      <c r="D222" s="16" t="s">
        <v>595</v>
      </c>
      <c r="E222" s="16" t="s">
        <v>1158</v>
      </c>
      <c r="F222" s="16" t="s">
        <v>92</v>
      </c>
      <c r="G222" s="16" t="s">
        <v>459</v>
      </c>
      <c r="H222" s="16" t="s">
        <v>1159</v>
      </c>
      <c r="I222" s="90" t="s">
        <v>1160</v>
      </c>
      <c r="J222" s="16" t="s">
        <v>1087</v>
      </c>
      <c r="K222" s="34" t="s">
        <v>1161</v>
      </c>
      <c r="L222" s="34" t="s">
        <v>1162</v>
      </c>
      <c r="M222" s="34"/>
      <c r="N222" s="34"/>
      <c r="O222" s="34"/>
      <c r="P222" s="34"/>
      <c r="Q222" s="20" t="s">
        <v>988</v>
      </c>
      <c r="R222" s="34" t="s">
        <v>48</v>
      </c>
      <c r="S222" s="34"/>
      <c r="U222" s="34"/>
      <c r="V222" s="147" t="s">
        <v>1147</v>
      </c>
      <c r="W222" s="135">
        <v>786</v>
      </c>
      <c r="X222" s="135" t="s">
        <v>90</v>
      </c>
      <c r="Y222" s="34" t="s">
        <v>141</v>
      </c>
      <c r="Z222" s="34"/>
      <c r="AA222" s="34"/>
      <c r="AB222" s="34" t="s">
        <v>139</v>
      </c>
      <c r="AC222" s="144">
        <v>46054</v>
      </c>
      <c r="AD222" s="109">
        <v>46082</v>
      </c>
      <c r="AE222" s="34"/>
      <c r="AF222" s="16">
        <v>30</v>
      </c>
      <c r="AG222" s="16" t="s">
        <v>101</v>
      </c>
      <c r="AH222" s="40">
        <v>0</v>
      </c>
      <c r="AI222" s="40"/>
      <c r="AJ222" s="40"/>
      <c r="AK222" s="40">
        <v>5945</v>
      </c>
      <c r="AL222" s="44">
        <v>1038640.9600000001</v>
      </c>
      <c r="AM222" s="44">
        <f t="shared" si="7"/>
        <v>1044585.9600000001</v>
      </c>
      <c r="AN222" s="31" t="s">
        <v>132</v>
      </c>
    </row>
    <row r="223" spans="1:40" ht="30" customHeight="1">
      <c r="A223" s="161">
        <v>46104</v>
      </c>
      <c r="B223" s="17">
        <v>222</v>
      </c>
      <c r="C223" s="89">
        <v>46097</v>
      </c>
      <c r="D223" s="16" t="s">
        <v>775</v>
      </c>
      <c r="E223" s="16" t="s">
        <v>1163</v>
      </c>
      <c r="F223" s="16" t="s">
        <v>388</v>
      </c>
      <c r="G223" s="16" t="s">
        <v>43</v>
      </c>
      <c r="H223" s="16" t="s">
        <v>1164</v>
      </c>
      <c r="I223" s="16" t="s">
        <v>1165</v>
      </c>
      <c r="J223" s="16" t="s">
        <v>729</v>
      </c>
      <c r="K223" s="34" t="s">
        <v>842</v>
      </c>
      <c r="L223" s="34" t="s">
        <v>1166</v>
      </c>
      <c r="M223" s="34"/>
      <c r="N223" s="34"/>
      <c r="O223" s="34"/>
      <c r="P223" s="34"/>
      <c r="Q223" s="34"/>
      <c r="R223" s="34"/>
      <c r="S223" s="34"/>
      <c r="U223" s="34"/>
      <c r="V223" s="34" t="s">
        <v>249</v>
      </c>
      <c r="W223" s="135">
        <v>3026</v>
      </c>
      <c r="X223" s="135" t="s">
        <v>94</v>
      </c>
      <c r="Y223" s="34" t="s">
        <v>929</v>
      </c>
      <c r="Z223" s="34"/>
      <c r="AA223" s="34"/>
      <c r="AB223" s="55" t="s">
        <v>251</v>
      </c>
      <c r="AC223" s="144">
        <v>45870</v>
      </c>
      <c r="AD223" s="109">
        <v>46082</v>
      </c>
      <c r="AE223" s="34"/>
      <c r="AF223" s="16">
        <f t="shared" si="8"/>
        <v>212</v>
      </c>
      <c r="AG223" s="16" t="s">
        <v>85</v>
      </c>
      <c r="AH223" s="34">
        <v>0</v>
      </c>
      <c r="AI223" s="34"/>
      <c r="AJ223" s="34"/>
      <c r="AK223" s="40">
        <v>9045</v>
      </c>
      <c r="AL223" s="34">
        <v>0</v>
      </c>
      <c r="AM223" s="131">
        <f t="shared" si="7"/>
        <v>9045</v>
      </c>
      <c r="AN223" s="25" t="s">
        <v>55</v>
      </c>
    </row>
    <row r="224" spans="1:40" ht="30" customHeight="1">
      <c r="A224" s="162"/>
      <c r="B224" s="17">
        <v>223</v>
      </c>
      <c r="C224" s="89">
        <v>46097</v>
      </c>
      <c r="D224" s="16" t="s">
        <v>1167</v>
      </c>
      <c r="E224" s="16" t="s">
        <v>832</v>
      </c>
      <c r="F224" s="16" t="s">
        <v>244</v>
      </c>
      <c r="G224" s="16" t="s">
        <v>43</v>
      </c>
      <c r="H224" s="16" t="s">
        <v>1168</v>
      </c>
      <c r="I224" s="16" t="s">
        <v>1169</v>
      </c>
      <c r="J224" s="16" t="s">
        <v>45</v>
      </c>
      <c r="K224" s="34" t="s">
        <v>835</v>
      </c>
      <c r="L224" s="34" t="s">
        <v>836</v>
      </c>
      <c r="M224" s="34"/>
      <c r="N224" s="34"/>
      <c r="O224" s="34"/>
      <c r="P224" s="34"/>
      <c r="Q224" s="34"/>
      <c r="R224" s="34"/>
      <c r="S224" s="34"/>
      <c r="U224" s="34"/>
      <c r="V224" s="34" t="s">
        <v>249</v>
      </c>
      <c r="W224" s="135">
        <v>3444</v>
      </c>
      <c r="X224" s="135" t="s">
        <v>94</v>
      </c>
      <c r="Y224" s="34" t="s">
        <v>929</v>
      </c>
      <c r="Z224" s="34"/>
      <c r="AA224" s="34"/>
      <c r="AB224" s="55" t="s">
        <v>251</v>
      </c>
      <c r="AC224" s="144">
        <v>45748</v>
      </c>
      <c r="AD224" s="109">
        <v>46082</v>
      </c>
      <c r="AE224" s="34"/>
      <c r="AF224" s="16">
        <f t="shared" si="8"/>
        <v>334</v>
      </c>
      <c r="AG224" s="110" t="s">
        <v>611</v>
      </c>
      <c r="AH224" s="34">
        <v>0</v>
      </c>
      <c r="AI224" s="34"/>
      <c r="AJ224" s="34"/>
      <c r="AK224" s="40">
        <v>9045</v>
      </c>
      <c r="AL224" s="34">
        <v>0</v>
      </c>
      <c r="AM224" s="131">
        <f t="shared" si="7"/>
        <v>9045</v>
      </c>
      <c r="AN224" s="25" t="s">
        <v>55</v>
      </c>
    </row>
    <row r="225" spans="1:40" ht="30" customHeight="1">
      <c r="A225" s="162"/>
      <c r="B225" s="17">
        <v>224</v>
      </c>
      <c r="C225" s="89">
        <v>46097</v>
      </c>
      <c r="D225" s="16" t="s">
        <v>68</v>
      </c>
      <c r="E225" s="16" t="s">
        <v>334</v>
      </c>
      <c r="F225" s="16" t="s">
        <v>70</v>
      </c>
      <c r="G225" s="16" t="s">
        <v>459</v>
      </c>
      <c r="H225" s="16" t="s">
        <v>1170</v>
      </c>
      <c r="I225" s="16" t="s">
        <v>1171</v>
      </c>
      <c r="J225" s="16" t="s">
        <v>1087</v>
      </c>
      <c r="K225" s="34" t="s">
        <v>1172</v>
      </c>
      <c r="L225" s="34" t="s">
        <v>1072</v>
      </c>
      <c r="M225" s="34"/>
      <c r="N225" s="34"/>
      <c r="O225" s="34"/>
      <c r="P225" s="34"/>
      <c r="Q225" s="34"/>
      <c r="R225" s="34"/>
      <c r="S225" s="34"/>
      <c r="U225" s="34"/>
      <c r="V225" s="147" t="s">
        <v>567</v>
      </c>
      <c r="W225" s="135">
        <v>792</v>
      </c>
      <c r="X225" s="135" t="s">
        <v>90</v>
      </c>
      <c r="Y225" s="34" t="s">
        <v>929</v>
      </c>
      <c r="Z225" s="34"/>
      <c r="AA225" s="34"/>
      <c r="AB225" s="55" t="s">
        <v>131</v>
      </c>
      <c r="AC225" s="144">
        <v>46023</v>
      </c>
      <c r="AD225" s="109">
        <v>46082</v>
      </c>
      <c r="AE225" s="34"/>
      <c r="AF225" s="16">
        <f t="shared" si="8"/>
        <v>59</v>
      </c>
      <c r="AG225" s="16" t="s">
        <v>101</v>
      </c>
      <c r="AH225" s="34">
        <v>62620</v>
      </c>
      <c r="AI225" s="34"/>
      <c r="AJ225" s="34"/>
      <c r="AK225" s="40">
        <v>9045</v>
      </c>
      <c r="AL225" s="44">
        <v>11200</v>
      </c>
      <c r="AM225" s="44">
        <f>AH225+AK225+AL225</f>
        <v>82865</v>
      </c>
      <c r="AN225" s="25" t="s">
        <v>55</v>
      </c>
    </row>
    <row r="226" spans="1:40" ht="30" customHeight="1">
      <c r="A226" s="162"/>
      <c r="B226" s="17">
        <v>225</v>
      </c>
      <c r="C226" s="89">
        <v>46098</v>
      </c>
      <c r="D226" s="16" t="s">
        <v>1118</v>
      </c>
      <c r="E226" s="16" t="s">
        <v>1173</v>
      </c>
      <c r="F226" s="16" t="s">
        <v>92</v>
      </c>
      <c r="G226" s="16" t="s">
        <v>43</v>
      </c>
      <c r="H226" s="16" t="s">
        <v>1174</v>
      </c>
      <c r="I226" s="16" t="s">
        <v>1175</v>
      </c>
      <c r="J226" s="16" t="s">
        <v>45</v>
      </c>
      <c r="K226" s="34" t="s">
        <v>1176</v>
      </c>
      <c r="L226" s="34" t="s">
        <v>1177</v>
      </c>
      <c r="M226" s="34"/>
      <c r="N226" s="34"/>
      <c r="O226" s="34"/>
      <c r="P226" s="34"/>
      <c r="Q226" s="34"/>
      <c r="R226" s="34"/>
      <c r="S226" s="34"/>
      <c r="U226" s="34"/>
      <c r="V226" s="34" t="s">
        <v>249</v>
      </c>
      <c r="W226" s="135">
        <v>12210</v>
      </c>
      <c r="X226" s="135" t="s">
        <v>67</v>
      </c>
      <c r="Y226" s="34" t="s">
        <v>929</v>
      </c>
      <c r="Z226" s="34"/>
      <c r="AA226" s="34"/>
      <c r="AB226" s="55" t="s">
        <v>251</v>
      </c>
      <c r="AC226" s="144">
        <v>45778</v>
      </c>
      <c r="AD226" s="109">
        <v>46082</v>
      </c>
      <c r="AE226" s="34"/>
      <c r="AF226" s="16">
        <v>31</v>
      </c>
      <c r="AG226" s="16" t="s">
        <v>101</v>
      </c>
      <c r="AH226" s="34">
        <v>0</v>
      </c>
      <c r="AI226" s="34"/>
      <c r="AJ226" s="34"/>
      <c r="AK226" s="40">
        <v>9045</v>
      </c>
      <c r="AL226" s="34">
        <v>0</v>
      </c>
      <c r="AM226" s="131">
        <f t="shared" si="7"/>
        <v>9045</v>
      </c>
      <c r="AN226" s="25" t="s">
        <v>55</v>
      </c>
    </row>
    <row r="227" spans="1:40" ht="30" customHeight="1">
      <c r="A227" s="162"/>
      <c r="B227" s="17">
        <v>226</v>
      </c>
      <c r="C227" s="89">
        <v>46099</v>
      </c>
      <c r="D227" s="16" t="s">
        <v>573</v>
      </c>
      <c r="E227" s="16" t="s">
        <v>983</v>
      </c>
      <c r="F227" s="16" t="s">
        <v>235</v>
      </c>
      <c r="G227" s="16" t="s">
        <v>43</v>
      </c>
      <c r="H227" s="16" t="s">
        <v>1178</v>
      </c>
      <c r="I227" s="16" t="s">
        <v>1179</v>
      </c>
      <c r="J227" s="16" t="s">
        <v>57</v>
      </c>
      <c r="K227" s="34" t="s">
        <v>1180</v>
      </c>
      <c r="L227" s="34" t="s">
        <v>1181</v>
      </c>
      <c r="M227" s="34"/>
      <c r="N227" s="34"/>
      <c r="O227" s="34"/>
      <c r="P227" s="34"/>
      <c r="Q227" s="34"/>
      <c r="R227" s="34"/>
      <c r="S227" s="34"/>
      <c r="U227" s="34"/>
      <c r="V227" s="34" t="s">
        <v>249</v>
      </c>
      <c r="W227" s="135">
        <v>28979</v>
      </c>
      <c r="X227" s="135" t="s">
        <v>534</v>
      </c>
      <c r="Y227" s="34" t="s">
        <v>929</v>
      </c>
      <c r="Z227" s="34"/>
      <c r="AA227" s="34"/>
      <c r="AB227" s="55" t="s">
        <v>251</v>
      </c>
      <c r="AC227" s="144">
        <v>45778</v>
      </c>
      <c r="AD227" s="109">
        <v>46082</v>
      </c>
      <c r="AE227" s="34"/>
      <c r="AF227" s="16">
        <f t="shared" si="8"/>
        <v>304</v>
      </c>
      <c r="AG227" s="110" t="s">
        <v>611</v>
      </c>
      <c r="AH227" s="34">
        <v>0</v>
      </c>
      <c r="AI227" s="34"/>
      <c r="AJ227" s="34"/>
      <c r="AK227" s="40">
        <v>9045</v>
      </c>
      <c r="AL227" s="34">
        <v>0</v>
      </c>
      <c r="AM227" s="131">
        <f t="shared" si="7"/>
        <v>9045</v>
      </c>
      <c r="AN227" s="25" t="s">
        <v>55</v>
      </c>
    </row>
    <row r="228" spans="1:40" ht="30" customHeight="1">
      <c r="A228" s="162"/>
      <c r="B228" s="17">
        <v>227</v>
      </c>
      <c r="C228" s="89">
        <v>46099</v>
      </c>
      <c r="D228" s="16" t="s">
        <v>856</v>
      </c>
      <c r="E228" s="16" t="s">
        <v>1182</v>
      </c>
      <c r="F228" s="16" t="s">
        <v>388</v>
      </c>
      <c r="G228" s="16" t="s">
        <v>43</v>
      </c>
      <c r="H228" s="16" t="s">
        <v>1183</v>
      </c>
      <c r="I228" s="16" t="s">
        <v>1184</v>
      </c>
      <c r="J228" s="16" t="s">
        <v>45</v>
      </c>
      <c r="K228" s="34" t="s">
        <v>1185</v>
      </c>
      <c r="L228" s="34" t="s">
        <v>1186</v>
      </c>
      <c r="M228" s="34"/>
      <c r="N228" s="34"/>
      <c r="O228" s="34"/>
      <c r="P228" s="34"/>
      <c r="Q228" s="34"/>
      <c r="R228" s="34"/>
      <c r="S228" s="34"/>
      <c r="U228" s="34"/>
      <c r="V228" s="34" t="s">
        <v>249</v>
      </c>
      <c r="W228" s="135">
        <v>7326</v>
      </c>
      <c r="X228" s="135" t="s">
        <v>87</v>
      </c>
      <c r="Y228" s="34" t="s">
        <v>929</v>
      </c>
      <c r="Z228" s="34"/>
      <c r="AA228" s="34"/>
      <c r="AB228" s="55" t="s">
        <v>251</v>
      </c>
      <c r="AC228" s="144">
        <v>45870</v>
      </c>
      <c r="AD228" s="109">
        <v>46082</v>
      </c>
      <c r="AE228" s="34"/>
      <c r="AF228" s="16">
        <f t="shared" si="8"/>
        <v>212</v>
      </c>
      <c r="AG228" s="16" t="s">
        <v>85</v>
      </c>
      <c r="AH228" s="34">
        <v>0</v>
      </c>
      <c r="AI228" s="34"/>
      <c r="AJ228" s="34"/>
      <c r="AK228" s="40">
        <v>9045</v>
      </c>
      <c r="AL228" s="34">
        <v>0</v>
      </c>
      <c r="AM228" s="131">
        <f t="shared" si="7"/>
        <v>9045</v>
      </c>
      <c r="AN228" s="25" t="s">
        <v>55</v>
      </c>
    </row>
    <row r="229" spans="1:40" ht="30" customHeight="1">
      <c r="A229" s="162"/>
      <c r="B229" s="17">
        <v>228</v>
      </c>
      <c r="C229" s="89">
        <v>46099</v>
      </c>
      <c r="D229" s="16" t="s">
        <v>1113</v>
      </c>
      <c r="E229" s="16" t="s">
        <v>832</v>
      </c>
      <c r="F229" s="16" t="s">
        <v>244</v>
      </c>
      <c r="G229" s="16" t="s">
        <v>43</v>
      </c>
      <c r="H229" s="16" t="s">
        <v>1187</v>
      </c>
      <c r="I229" s="16" t="s">
        <v>1188</v>
      </c>
      <c r="J229" s="16" t="s">
        <v>729</v>
      </c>
      <c r="K229" s="34" t="s">
        <v>1189</v>
      </c>
      <c r="L229" s="34" t="s">
        <v>1116</v>
      </c>
      <c r="M229" s="34"/>
      <c r="N229" s="34"/>
      <c r="O229" s="34"/>
      <c r="P229" s="34"/>
      <c r="Q229" s="34"/>
      <c r="R229" s="34"/>
      <c r="S229" s="34"/>
      <c r="U229" s="34"/>
      <c r="V229" s="34" t="s">
        <v>249</v>
      </c>
      <c r="W229" s="135">
        <v>11152</v>
      </c>
      <c r="X229" s="135" t="s">
        <v>67</v>
      </c>
      <c r="Y229" s="34" t="s">
        <v>929</v>
      </c>
      <c r="Z229" s="34"/>
      <c r="AA229" s="34"/>
      <c r="AB229" s="55" t="s">
        <v>251</v>
      </c>
      <c r="AC229" s="144">
        <v>45931</v>
      </c>
      <c r="AD229" s="109">
        <v>46082</v>
      </c>
      <c r="AE229" s="34"/>
      <c r="AF229" s="16">
        <v>32</v>
      </c>
      <c r="AG229" s="16" t="s">
        <v>101</v>
      </c>
      <c r="AH229" s="34">
        <v>0</v>
      </c>
      <c r="AI229" s="34"/>
      <c r="AJ229" s="34"/>
      <c r="AK229" s="40">
        <v>9045</v>
      </c>
      <c r="AL229" s="34">
        <v>0</v>
      </c>
      <c r="AM229" s="131">
        <f t="shared" si="7"/>
        <v>9045</v>
      </c>
      <c r="AN229" s="25" t="s">
        <v>55</v>
      </c>
    </row>
    <row r="230" spans="1:40" ht="30" customHeight="1">
      <c r="A230" s="162"/>
      <c r="B230" s="17">
        <v>229</v>
      </c>
      <c r="C230" s="89">
        <v>46101</v>
      </c>
      <c r="D230" s="16" t="s">
        <v>1190</v>
      </c>
      <c r="E230" s="16" t="s">
        <v>983</v>
      </c>
      <c r="F230" s="16" t="s">
        <v>235</v>
      </c>
      <c r="G230" s="16" t="s">
        <v>71</v>
      </c>
      <c r="H230" s="16" t="s">
        <v>1191</v>
      </c>
      <c r="I230" s="16" t="s">
        <v>1192</v>
      </c>
      <c r="J230" s="16" t="s">
        <v>1087</v>
      </c>
      <c r="K230" s="34" t="s">
        <v>1193</v>
      </c>
      <c r="L230" s="34" t="s">
        <v>1194</v>
      </c>
      <c r="M230" s="34"/>
      <c r="N230" s="34"/>
      <c r="O230" s="34"/>
      <c r="P230" s="34"/>
      <c r="Q230" s="34"/>
      <c r="R230" s="34"/>
      <c r="S230" s="34"/>
      <c r="U230" s="34"/>
      <c r="V230" s="147" t="s">
        <v>208</v>
      </c>
      <c r="W230" s="135">
        <v>3901</v>
      </c>
      <c r="X230" s="135" t="s">
        <v>94</v>
      </c>
      <c r="Y230" s="34" t="s">
        <v>929</v>
      </c>
      <c r="Z230" s="34"/>
      <c r="AA230" s="34"/>
      <c r="AB230" s="148" t="s">
        <v>210</v>
      </c>
      <c r="AC230" s="144">
        <v>46023</v>
      </c>
      <c r="AD230" s="109">
        <v>46082</v>
      </c>
      <c r="AE230" s="34"/>
      <c r="AF230" s="16">
        <f t="shared" si="8"/>
        <v>59</v>
      </c>
      <c r="AG230" s="16" t="s">
        <v>101</v>
      </c>
      <c r="AH230" s="34">
        <v>80000</v>
      </c>
      <c r="AI230" s="43"/>
      <c r="AJ230" s="43"/>
      <c r="AK230" s="71">
        <v>9045</v>
      </c>
      <c r="AL230" s="130">
        <v>108782</v>
      </c>
      <c r="AM230" s="131">
        <f t="shared" si="7"/>
        <v>197827</v>
      </c>
      <c r="AN230" s="31" t="s">
        <v>132</v>
      </c>
    </row>
    <row r="231" spans="1:40" ht="30" customHeight="1">
      <c r="A231" s="161">
        <v>46108</v>
      </c>
      <c r="B231" s="17">
        <v>230</v>
      </c>
      <c r="C231" s="89">
        <v>46104</v>
      </c>
      <c r="D231" s="16" t="s">
        <v>997</v>
      </c>
      <c r="E231" s="16" t="s">
        <v>1195</v>
      </c>
      <c r="F231" s="16" t="s">
        <v>58</v>
      </c>
      <c r="G231" s="16" t="s">
        <v>43</v>
      </c>
      <c r="H231" s="16" t="s">
        <v>1196</v>
      </c>
      <c r="I231" s="16" t="s">
        <v>1197</v>
      </c>
      <c r="J231" s="16" t="s">
        <v>57</v>
      </c>
      <c r="K231" s="34" t="s">
        <v>1198</v>
      </c>
      <c r="L231" s="34" t="s">
        <v>1199</v>
      </c>
      <c r="M231" s="34"/>
      <c r="N231" s="34"/>
      <c r="O231" s="34"/>
      <c r="P231" s="34"/>
      <c r="Q231" s="34"/>
      <c r="R231" s="34"/>
      <c r="S231" s="34"/>
      <c r="U231" s="34"/>
      <c r="V231" s="34" t="s">
        <v>249</v>
      </c>
      <c r="W231" s="135">
        <v>33301</v>
      </c>
      <c r="X231" s="135" t="s">
        <v>844</v>
      </c>
      <c r="Y231" s="34" t="s">
        <v>929</v>
      </c>
      <c r="Z231" s="34"/>
      <c r="AA231" s="34"/>
      <c r="AB231" s="55" t="s">
        <v>251</v>
      </c>
      <c r="AC231" s="144">
        <v>45778</v>
      </c>
      <c r="AD231" s="109">
        <v>46082</v>
      </c>
      <c r="AE231" s="34"/>
      <c r="AF231" s="16">
        <f t="shared" si="8"/>
        <v>304</v>
      </c>
      <c r="AG231" s="110" t="s">
        <v>611</v>
      </c>
      <c r="AH231" s="34">
        <v>0</v>
      </c>
      <c r="AI231" s="34"/>
      <c r="AJ231" s="34"/>
      <c r="AK231" s="40">
        <v>9045</v>
      </c>
      <c r="AL231" s="34">
        <v>0</v>
      </c>
      <c r="AM231" s="131">
        <f t="shared" si="7"/>
        <v>9045</v>
      </c>
      <c r="AN231" s="25" t="s">
        <v>55</v>
      </c>
    </row>
    <row r="232" spans="1:40" ht="30" customHeight="1">
      <c r="A232" s="162"/>
      <c r="B232" s="17">
        <v>231</v>
      </c>
      <c r="C232" s="89">
        <v>46104</v>
      </c>
      <c r="D232" s="16" t="s">
        <v>972</v>
      </c>
      <c r="E232" s="16" t="s">
        <v>973</v>
      </c>
      <c r="F232" s="16" t="s">
        <v>58</v>
      </c>
      <c r="G232" s="16" t="s">
        <v>43</v>
      </c>
      <c r="H232" s="16" t="s">
        <v>1200</v>
      </c>
      <c r="I232" s="16" t="s">
        <v>1201</v>
      </c>
      <c r="J232" s="16" t="s">
        <v>57</v>
      </c>
      <c r="K232" s="34" t="s">
        <v>1202</v>
      </c>
      <c r="L232" s="34" t="s">
        <v>1203</v>
      </c>
      <c r="M232" s="34"/>
      <c r="N232" s="34"/>
      <c r="O232" s="34"/>
      <c r="P232" s="34"/>
      <c r="Q232" s="34"/>
      <c r="R232" s="34"/>
      <c r="S232" s="34"/>
      <c r="U232" s="34"/>
      <c r="V232" s="34" t="s">
        <v>249</v>
      </c>
      <c r="W232" s="135">
        <v>12198</v>
      </c>
      <c r="X232" s="135" t="s">
        <v>67</v>
      </c>
      <c r="Y232" s="34" t="s">
        <v>929</v>
      </c>
      <c r="Z232" s="34"/>
      <c r="AA232" s="34"/>
      <c r="AB232" s="55" t="s">
        <v>251</v>
      </c>
      <c r="AC232" s="144">
        <v>45778</v>
      </c>
      <c r="AD232" s="109">
        <v>46082</v>
      </c>
      <c r="AE232" s="34"/>
      <c r="AF232" s="16">
        <f t="shared" si="8"/>
        <v>304</v>
      </c>
      <c r="AG232" s="110" t="s">
        <v>611</v>
      </c>
      <c r="AH232" s="34">
        <v>0</v>
      </c>
      <c r="AI232" s="34"/>
      <c r="AJ232" s="34"/>
      <c r="AK232" s="40">
        <v>9045</v>
      </c>
      <c r="AL232" s="34">
        <v>0</v>
      </c>
      <c r="AM232" s="131">
        <f t="shared" si="7"/>
        <v>9045</v>
      </c>
      <c r="AN232" s="25" t="s">
        <v>55</v>
      </c>
    </row>
    <row r="233" spans="1:40" ht="30" customHeight="1">
      <c r="A233" s="162"/>
      <c r="B233" s="17">
        <v>232</v>
      </c>
      <c r="C233" s="89">
        <v>46105</v>
      </c>
      <c r="D233" s="16" t="s">
        <v>1204</v>
      </c>
      <c r="E233" s="16" t="s">
        <v>832</v>
      </c>
      <c r="F233" s="16" t="s">
        <v>244</v>
      </c>
      <c r="G233" s="16" t="s">
        <v>43</v>
      </c>
      <c r="H233" s="16" t="s">
        <v>1205</v>
      </c>
      <c r="I233" s="16" t="s">
        <v>1206</v>
      </c>
      <c r="J233" s="16" t="s">
        <v>551</v>
      </c>
      <c r="K233" s="34" t="s">
        <v>1189</v>
      </c>
      <c r="L233" s="34" t="s">
        <v>1207</v>
      </c>
      <c r="M233" s="34"/>
      <c r="N233" s="34"/>
      <c r="O233" s="34"/>
      <c r="P233" s="34"/>
      <c r="Q233" s="34"/>
      <c r="R233" s="34"/>
      <c r="S233" s="34"/>
      <c r="U233" s="34"/>
      <c r="V233" s="34" t="s">
        <v>249</v>
      </c>
      <c r="W233" s="135">
        <v>16661</v>
      </c>
      <c r="X233" s="135" t="s">
        <v>107</v>
      </c>
      <c r="Y233" s="34" t="s">
        <v>929</v>
      </c>
      <c r="Z233" s="34"/>
      <c r="AA233" s="34"/>
      <c r="AB233" s="55" t="s">
        <v>251</v>
      </c>
      <c r="AC233" s="144">
        <v>45839</v>
      </c>
      <c r="AD233" s="109">
        <v>46082</v>
      </c>
      <c r="AE233" s="34"/>
      <c r="AF233" s="16">
        <f t="shared" si="8"/>
        <v>243</v>
      </c>
      <c r="AG233" s="16" t="s">
        <v>85</v>
      </c>
      <c r="AH233" s="34">
        <v>0</v>
      </c>
      <c r="AI233" s="34"/>
      <c r="AJ233" s="34"/>
      <c r="AK233" s="40">
        <v>9045</v>
      </c>
      <c r="AL233" s="34">
        <v>0</v>
      </c>
      <c r="AM233" s="131">
        <f t="shared" si="7"/>
        <v>9045</v>
      </c>
      <c r="AN233" s="25" t="s">
        <v>55</v>
      </c>
    </row>
    <row r="234" spans="1:40" ht="30" customHeight="1">
      <c r="A234" s="162"/>
      <c r="B234" s="17">
        <v>233</v>
      </c>
      <c r="C234" s="89">
        <v>46105</v>
      </c>
      <c r="D234" s="16" t="s">
        <v>1204</v>
      </c>
      <c r="E234" s="16" t="s">
        <v>832</v>
      </c>
      <c r="F234" s="16" t="s">
        <v>244</v>
      </c>
      <c r="G234" s="16" t="s">
        <v>43</v>
      </c>
      <c r="H234" s="16" t="s">
        <v>1208</v>
      </c>
      <c r="I234" s="16" t="s">
        <v>1209</v>
      </c>
      <c r="J234" s="16" t="s">
        <v>45</v>
      </c>
      <c r="K234" s="34" t="s">
        <v>1210</v>
      </c>
      <c r="L234" s="34" t="s">
        <v>1207</v>
      </c>
      <c r="M234" s="34"/>
      <c r="N234" s="34"/>
      <c r="O234" s="34"/>
      <c r="P234" s="34"/>
      <c r="Q234" s="34"/>
      <c r="R234" s="34"/>
      <c r="S234" s="34"/>
      <c r="U234" s="34"/>
      <c r="V234" s="34" t="s">
        <v>249</v>
      </c>
      <c r="W234" s="135">
        <v>23913</v>
      </c>
      <c r="X234" s="135" t="s">
        <v>708</v>
      </c>
      <c r="Y234" s="34" t="s">
        <v>929</v>
      </c>
      <c r="Z234" s="34"/>
      <c r="AA234" s="34"/>
      <c r="AB234" s="55" t="s">
        <v>251</v>
      </c>
      <c r="AC234" s="144">
        <v>45809</v>
      </c>
      <c r="AD234" s="109">
        <v>46082</v>
      </c>
      <c r="AE234" s="34"/>
      <c r="AF234" s="16">
        <f t="shared" si="8"/>
        <v>273</v>
      </c>
      <c r="AG234" s="110" t="s">
        <v>611</v>
      </c>
      <c r="AH234" s="34">
        <v>0</v>
      </c>
      <c r="AI234" s="34"/>
      <c r="AJ234" s="34"/>
      <c r="AK234" s="40">
        <v>9045</v>
      </c>
      <c r="AL234" s="34">
        <v>0</v>
      </c>
      <c r="AM234" s="131">
        <f t="shared" si="7"/>
        <v>9045</v>
      </c>
      <c r="AN234" s="25" t="s">
        <v>55</v>
      </c>
    </row>
    <row r="235" spans="1:40" s="138" customFormat="1" ht="30" customHeight="1">
      <c r="A235" s="165"/>
      <c r="B235" s="17">
        <v>234</v>
      </c>
      <c r="C235" s="137">
        <v>46106</v>
      </c>
      <c r="D235" s="92" t="s">
        <v>1211</v>
      </c>
      <c r="E235" s="92" t="s">
        <v>1158</v>
      </c>
      <c r="F235" s="92" t="s">
        <v>92</v>
      </c>
      <c r="G235" s="92" t="s">
        <v>459</v>
      </c>
      <c r="H235" s="92" t="s">
        <v>1212</v>
      </c>
      <c r="I235" s="92" t="s">
        <v>1213</v>
      </c>
      <c r="J235" s="92" t="s">
        <v>45</v>
      </c>
      <c r="K235" s="95" t="s">
        <v>1214</v>
      </c>
      <c r="L235" s="95" t="s">
        <v>1215</v>
      </c>
      <c r="M235" s="95"/>
      <c r="N235" s="95"/>
      <c r="O235" s="95"/>
      <c r="P235" s="95"/>
      <c r="Q235" s="95"/>
      <c r="R235" s="95"/>
      <c r="S235" s="95"/>
      <c r="T235" s="95"/>
      <c r="U235" s="95"/>
      <c r="V235" s="95" t="s">
        <v>567</v>
      </c>
      <c r="W235" s="95">
        <v>24567</v>
      </c>
      <c r="X235" s="95" t="s">
        <v>708</v>
      </c>
      <c r="Y235" s="95" t="s">
        <v>929</v>
      </c>
      <c r="Z235" s="95"/>
      <c r="AA235" s="95"/>
      <c r="AB235" s="96" t="s">
        <v>131</v>
      </c>
      <c r="AC235" s="149">
        <v>45689</v>
      </c>
      <c r="AD235" s="149">
        <v>46082</v>
      </c>
      <c r="AE235" s="95"/>
      <c r="AF235" s="92">
        <f t="shared" si="8"/>
        <v>393</v>
      </c>
      <c r="AG235" s="150" t="s">
        <v>611</v>
      </c>
      <c r="AH235" s="95">
        <v>1040</v>
      </c>
      <c r="AI235" s="95"/>
      <c r="AJ235" s="95"/>
      <c r="AK235" s="96">
        <v>9045</v>
      </c>
      <c r="AL235" s="104">
        <v>11200</v>
      </c>
      <c r="AM235" s="104">
        <f>AH235+AK235+AL235</f>
        <v>21285</v>
      </c>
      <c r="AN235" s="25" t="s">
        <v>55</v>
      </c>
    </row>
    <row r="236" spans="1:40" ht="30" customHeight="1">
      <c r="A236" s="162"/>
      <c r="B236" s="17">
        <v>235</v>
      </c>
      <c r="C236" s="89">
        <v>46106</v>
      </c>
      <c r="D236" s="16" t="s">
        <v>1216</v>
      </c>
      <c r="E236" s="16" t="s">
        <v>1217</v>
      </c>
      <c r="F236" s="16" t="s">
        <v>92</v>
      </c>
      <c r="G236" s="16" t="s">
        <v>43</v>
      </c>
      <c r="H236" s="16" t="s">
        <v>1218</v>
      </c>
      <c r="I236" s="16" t="s">
        <v>1219</v>
      </c>
      <c r="J236" s="16" t="s">
        <v>57</v>
      </c>
      <c r="K236" s="34" t="s">
        <v>1220</v>
      </c>
      <c r="L236" s="34" t="s">
        <v>1221</v>
      </c>
      <c r="M236" s="34"/>
      <c r="N236" s="34"/>
      <c r="O236" s="34"/>
      <c r="P236" s="34"/>
      <c r="Q236" s="34"/>
      <c r="R236" s="34"/>
      <c r="S236" s="34"/>
      <c r="U236" s="34"/>
      <c r="V236" s="34" t="s">
        <v>249</v>
      </c>
      <c r="W236" s="135">
        <v>32167</v>
      </c>
      <c r="X236" s="135" t="s">
        <v>844</v>
      </c>
      <c r="Y236" s="34" t="s">
        <v>929</v>
      </c>
      <c r="Z236" s="34"/>
      <c r="AA236" s="34"/>
      <c r="AB236" s="55" t="s">
        <v>251</v>
      </c>
      <c r="AC236" s="144">
        <v>45778</v>
      </c>
      <c r="AD236" s="109">
        <v>46082</v>
      </c>
      <c r="AE236" s="34"/>
      <c r="AF236" s="16">
        <f t="shared" si="8"/>
        <v>304</v>
      </c>
      <c r="AG236" s="110" t="s">
        <v>611</v>
      </c>
      <c r="AH236" s="34">
        <v>0</v>
      </c>
      <c r="AI236" s="34"/>
      <c r="AJ236" s="34"/>
      <c r="AK236" s="40">
        <v>9045</v>
      </c>
      <c r="AL236" s="34">
        <v>0</v>
      </c>
      <c r="AM236" s="131">
        <f t="shared" si="7"/>
        <v>9045</v>
      </c>
      <c r="AN236" s="25" t="s">
        <v>55</v>
      </c>
    </row>
    <row r="237" spans="1:40" ht="30" customHeight="1">
      <c r="A237" s="162"/>
      <c r="B237" s="17">
        <v>236</v>
      </c>
      <c r="C237" s="89">
        <v>46106</v>
      </c>
      <c r="D237" s="16" t="s">
        <v>709</v>
      </c>
      <c r="E237" s="16" t="s">
        <v>819</v>
      </c>
      <c r="F237" s="16" t="s">
        <v>92</v>
      </c>
      <c r="G237" s="16" t="s">
        <v>43</v>
      </c>
      <c r="H237" s="16" t="s">
        <v>1222</v>
      </c>
      <c r="I237" s="16" t="s">
        <v>1223</v>
      </c>
      <c r="J237" s="16" t="s">
        <v>57</v>
      </c>
      <c r="K237" s="34" t="s">
        <v>1224</v>
      </c>
      <c r="L237" s="34" t="s">
        <v>1225</v>
      </c>
      <c r="M237" s="34"/>
      <c r="N237" s="34"/>
      <c r="O237" s="34"/>
      <c r="P237" s="34"/>
      <c r="Q237" s="34"/>
      <c r="R237" s="34"/>
      <c r="S237" s="34"/>
      <c r="U237" s="34"/>
      <c r="V237" s="34" t="s">
        <v>249</v>
      </c>
      <c r="W237" s="135">
        <v>4098</v>
      </c>
      <c r="X237" s="135" t="s">
        <v>79</v>
      </c>
      <c r="Y237" s="34" t="s">
        <v>929</v>
      </c>
      <c r="Z237" s="34"/>
      <c r="AA237" s="34"/>
      <c r="AB237" s="55" t="s">
        <v>251</v>
      </c>
      <c r="AC237" s="144">
        <v>45778</v>
      </c>
      <c r="AD237" s="109">
        <v>46082</v>
      </c>
      <c r="AE237" s="34"/>
      <c r="AF237" s="16">
        <f t="shared" si="8"/>
        <v>304</v>
      </c>
      <c r="AG237" s="110" t="s">
        <v>611</v>
      </c>
      <c r="AH237" s="34">
        <v>0</v>
      </c>
      <c r="AI237" s="34"/>
      <c r="AJ237" s="34"/>
      <c r="AK237" s="40">
        <v>9045</v>
      </c>
      <c r="AL237" s="34">
        <v>0</v>
      </c>
      <c r="AM237" s="131">
        <f t="shared" si="7"/>
        <v>9045</v>
      </c>
      <c r="AN237" s="25" t="s">
        <v>55</v>
      </c>
    </row>
    <row r="238" spans="1:40" ht="30" customHeight="1">
      <c r="A238" s="162"/>
      <c r="B238" s="17">
        <v>237</v>
      </c>
      <c r="C238" s="89">
        <v>46106</v>
      </c>
      <c r="D238" s="16" t="s">
        <v>1226</v>
      </c>
      <c r="E238" s="16" t="s">
        <v>1158</v>
      </c>
      <c r="F238" s="16" t="s">
        <v>92</v>
      </c>
      <c r="G238" s="16" t="s">
        <v>43</v>
      </c>
      <c r="H238" s="16" t="s">
        <v>1227</v>
      </c>
      <c r="I238" s="16" t="s">
        <v>1228</v>
      </c>
      <c r="J238" s="16" t="s">
        <v>729</v>
      </c>
      <c r="K238" s="34" t="s">
        <v>1210</v>
      </c>
      <c r="L238" s="34" t="s">
        <v>1229</v>
      </c>
      <c r="M238" s="34"/>
      <c r="N238" s="34"/>
      <c r="O238" s="34"/>
      <c r="P238" s="34"/>
      <c r="Q238" s="34"/>
      <c r="R238" s="34"/>
      <c r="S238" s="34"/>
      <c r="U238" s="34"/>
      <c r="V238" s="34" t="s">
        <v>249</v>
      </c>
      <c r="W238" s="135">
        <v>7353</v>
      </c>
      <c r="X238" s="135" t="s">
        <v>87</v>
      </c>
      <c r="Y238" s="34" t="s">
        <v>929</v>
      </c>
      <c r="Z238" s="34"/>
      <c r="AA238" s="34"/>
      <c r="AB238" s="55" t="s">
        <v>251</v>
      </c>
      <c r="AC238" s="144">
        <v>45870</v>
      </c>
      <c r="AD238" s="109">
        <v>46082</v>
      </c>
      <c r="AE238" s="34"/>
      <c r="AF238" s="16">
        <f t="shared" si="8"/>
        <v>212</v>
      </c>
      <c r="AG238" s="16" t="s">
        <v>85</v>
      </c>
      <c r="AH238" s="34">
        <v>0</v>
      </c>
      <c r="AI238" s="34"/>
      <c r="AJ238" s="34"/>
      <c r="AK238" s="40">
        <v>9045</v>
      </c>
      <c r="AL238" s="34">
        <v>0</v>
      </c>
      <c r="AM238" s="131">
        <f t="shared" si="7"/>
        <v>9045</v>
      </c>
      <c r="AN238" s="25" t="s">
        <v>55</v>
      </c>
    </row>
    <row r="239" spans="1:40" ht="30" customHeight="1">
      <c r="A239" s="162"/>
      <c r="B239" s="17">
        <v>238</v>
      </c>
      <c r="C239" s="89">
        <v>46107</v>
      </c>
      <c r="D239" s="16" t="s">
        <v>1204</v>
      </c>
      <c r="E239" s="16" t="s">
        <v>832</v>
      </c>
      <c r="F239" s="16" t="s">
        <v>244</v>
      </c>
      <c r="G239" s="16" t="s">
        <v>43</v>
      </c>
      <c r="H239" s="16" t="s">
        <v>1230</v>
      </c>
      <c r="I239" s="16" t="s">
        <v>1231</v>
      </c>
      <c r="J239" s="16" t="s">
        <v>57</v>
      </c>
      <c r="K239" s="34" t="s">
        <v>1232</v>
      </c>
      <c r="L239" s="34" t="s">
        <v>1233</v>
      </c>
      <c r="M239" s="34"/>
      <c r="N239" s="34"/>
      <c r="O239" s="34"/>
      <c r="P239" s="34"/>
      <c r="Q239" s="34"/>
      <c r="R239" s="34"/>
      <c r="S239" s="34"/>
      <c r="U239" s="34"/>
      <c r="V239" s="34" t="s">
        <v>249</v>
      </c>
      <c r="W239" s="135">
        <v>8152</v>
      </c>
      <c r="X239" s="135" t="s">
        <v>50</v>
      </c>
      <c r="Y239" s="34" t="s">
        <v>929</v>
      </c>
      <c r="Z239" s="34"/>
      <c r="AA239" s="34"/>
      <c r="AB239" s="55" t="s">
        <v>251</v>
      </c>
      <c r="AC239" s="144">
        <v>45809</v>
      </c>
      <c r="AD239" s="109">
        <v>46082</v>
      </c>
      <c r="AE239" s="34"/>
      <c r="AF239" s="16">
        <f t="shared" si="8"/>
        <v>273</v>
      </c>
      <c r="AG239" s="110" t="s">
        <v>611</v>
      </c>
      <c r="AH239" s="34">
        <v>0</v>
      </c>
      <c r="AI239" s="34"/>
      <c r="AJ239" s="34"/>
      <c r="AK239" s="40">
        <v>9045</v>
      </c>
      <c r="AL239" s="34">
        <v>0</v>
      </c>
      <c r="AM239" s="131">
        <f t="shared" si="7"/>
        <v>9045</v>
      </c>
      <c r="AN239" s="25" t="s">
        <v>55</v>
      </c>
    </row>
    <row r="240" spans="1:40" ht="30" customHeight="1">
      <c r="A240" s="162"/>
      <c r="B240" s="17">
        <v>239</v>
      </c>
      <c r="C240" s="89">
        <v>46107</v>
      </c>
      <c r="D240" s="16" t="s">
        <v>1113</v>
      </c>
      <c r="E240" s="16" t="s">
        <v>832</v>
      </c>
      <c r="F240" s="16" t="s">
        <v>244</v>
      </c>
      <c r="G240" s="16" t="s">
        <v>43</v>
      </c>
      <c r="H240" s="16" t="s">
        <v>1234</v>
      </c>
      <c r="I240" s="16" t="s">
        <v>1235</v>
      </c>
      <c r="J240" s="16" t="s">
        <v>57</v>
      </c>
      <c r="K240" s="34" t="s">
        <v>1236</v>
      </c>
      <c r="L240" s="34" t="s">
        <v>1116</v>
      </c>
      <c r="M240" s="34"/>
      <c r="N240" s="34"/>
      <c r="O240" s="34"/>
      <c r="P240" s="34"/>
      <c r="Q240" s="34"/>
      <c r="R240" s="34"/>
      <c r="S240" s="34"/>
      <c r="U240" s="34"/>
      <c r="V240" s="34" t="s">
        <v>249</v>
      </c>
      <c r="W240" s="135">
        <v>11282</v>
      </c>
      <c r="X240" s="135" t="s">
        <v>67</v>
      </c>
      <c r="Y240" s="34" t="s">
        <v>929</v>
      </c>
      <c r="Z240" s="34"/>
      <c r="AA240" s="34"/>
      <c r="AB240" s="55" t="s">
        <v>251</v>
      </c>
      <c r="AC240" s="144">
        <v>45809</v>
      </c>
      <c r="AD240" s="109">
        <v>46082</v>
      </c>
      <c r="AE240" s="34"/>
      <c r="AF240" s="16">
        <f t="shared" si="8"/>
        <v>273</v>
      </c>
      <c r="AG240" s="110" t="s">
        <v>611</v>
      </c>
      <c r="AH240" s="34">
        <v>0</v>
      </c>
      <c r="AI240" s="34"/>
      <c r="AJ240" s="34"/>
      <c r="AK240" s="40">
        <v>9045</v>
      </c>
      <c r="AL240" s="34">
        <v>0</v>
      </c>
      <c r="AM240" s="131">
        <f t="shared" si="7"/>
        <v>9045</v>
      </c>
      <c r="AN240" s="25" t="s">
        <v>55</v>
      </c>
    </row>
    <row r="241" spans="1:40" ht="30" customHeight="1">
      <c r="A241" s="162"/>
      <c r="B241" s="17">
        <v>240</v>
      </c>
      <c r="C241" s="89">
        <v>46107</v>
      </c>
      <c r="D241" s="16" t="s">
        <v>1211</v>
      </c>
      <c r="E241" s="16" t="s">
        <v>1158</v>
      </c>
      <c r="F241" s="16" t="s">
        <v>92</v>
      </c>
      <c r="G241" s="16" t="s">
        <v>43</v>
      </c>
      <c r="H241" s="16" t="s">
        <v>1237</v>
      </c>
      <c r="I241" s="16" t="s">
        <v>1238</v>
      </c>
      <c r="J241" s="16" t="s">
        <v>57</v>
      </c>
      <c r="K241" s="34" t="s">
        <v>1239</v>
      </c>
      <c r="L241" s="34" t="s">
        <v>1215</v>
      </c>
      <c r="M241" s="34"/>
      <c r="N241" s="34"/>
      <c r="O241" s="34"/>
      <c r="P241" s="34"/>
      <c r="Q241" s="34"/>
      <c r="R241" s="34"/>
      <c r="S241" s="34"/>
      <c r="U241" s="34"/>
      <c r="V241" s="34" t="s">
        <v>249</v>
      </c>
      <c r="W241" s="135">
        <v>11027</v>
      </c>
      <c r="X241" s="135" t="s">
        <v>67</v>
      </c>
      <c r="Y241" s="34" t="s">
        <v>929</v>
      </c>
      <c r="Z241" s="34"/>
      <c r="AA241" s="34"/>
      <c r="AB241" s="55" t="s">
        <v>251</v>
      </c>
      <c r="AC241" s="144">
        <v>45748</v>
      </c>
      <c r="AD241" s="109">
        <v>46082</v>
      </c>
      <c r="AE241" s="34"/>
      <c r="AF241" s="16">
        <f t="shared" si="8"/>
        <v>334</v>
      </c>
      <c r="AG241" s="110" t="s">
        <v>611</v>
      </c>
      <c r="AH241" s="34">
        <v>0</v>
      </c>
      <c r="AI241" s="34"/>
      <c r="AJ241" s="34"/>
      <c r="AK241" s="40">
        <v>9045</v>
      </c>
      <c r="AL241" s="34">
        <v>0</v>
      </c>
      <c r="AM241" s="131">
        <f t="shared" si="7"/>
        <v>9045</v>
      </c>
      <c r="AN241" s="25" t="s">
        <v>55</v>
      </c>
    </row>
    <row r="242" spans="1:40" ht="30" customHeight="1">
      <c r="A242" s="162"/>
      <c r="B242" s="17">
        <v>241</v>
      </c>
      <c r="C242" s="89">
        <v>46107</v>
      </c>
      <c r="D242" s="16" t="s">
        <v>1023</v>
      </c>
      <c r="E242" s="16" t="s">
        <v>1024</v>
      </c>
      <c r="F242" s="16" t="s">
        <v>388</v>
      </c>
      <c r="G242" s="16" t="s">
        <v>43</v>
      </c>
      <c r="H242" s="16" t="s">
        <v>1240</v>
      </c>
      <c r="I242" s="16" t="s">
        <v>1241</v>
      </c>
      <c r="J242" s="16" t="s">
        <v>45</v>
      </c>
      <c r="K242" s="34" t="s">
        <v>1027</v>
      </c>
      <c r="L242" s="34" t="s">
        <v>1028</v>
      </c>
      <c r="M242" s="34"/>
      <c r="N242" s="34"/>
      <c r="O242" s="34"/>
      <c r="P242" s="34"/>
      <c r="Q242" s="34"/>
      <c r="R242" s="34"/>
      <c r="S242" s="34"/>
      <c r="U242" s="34"/>
      <c r="V242" s="34" t="s">
        <v>249</v>
      </c>
      <c r="W242" s="135">
        <v>11428</v>
      </c>
      <c r="X242" s="135" t="s">
        <v>67</v>
      </c>
      <c r="Y242" s="34" t="s">
        <v>929</v>
      </c>
      <c r="Z242" s="34"/>
      <c r="AA242" s="34"/>
      <c r="AB242" s="55" t="s">
        <v>251</v>
      </c>
      <c r="AC242" s="144">
        <v>45809</v>
      </c>
      <c r="AD242" s="109">
        <v>46082</v>
      </c>
      <c r="AE242" s="34"/>
      <c r="AF242" s="16">
        <f t="shared" si="8"/>
        <v>273</v>
      </c>
      <c r="AG242" s="110" t="s">
        <v>611</v>
      </c>
      <c r="AH242" s="34">
        <v>0</v>
      </c>
      <c r="AI242" s="34"/>
      <c r="AJ242" s="34"/>
      <c r="AK242" s="40">
        <v>9045</v>
      </c>
      <c r="AL242" s="34">
        <v>0</v>
      </c>
      <c r="AM242" s="131">
        <f t="shared" si="7"/>
        <v>9045</v>
      </c>
      <c r="AN242" s="25" t="s">
        <v>55</v>
      </c>
    </row>
    <row r="243" spans="1:40" ht="30" customHeight="1">
      <c r="A243" s="162"/>
      <c r="B243" s="17">
        <v>242</v>
      </c>
      <c r="C243" s="89">
        <v>46107</v>
      </c>
      <c r="D243" s="16" t="s">
        <v>548</v>
      </c>
      <c r="E243" s="16" t="s">
        <v>1242</v>
      </c>
      <c r="F243" s="16" t="s">
        <v>388</v>
      </c>
      <c r="G243" s="16" t="s">
        <v>43</v>
      </c>
      <c r="H243" s="16" t="s">
        <v>1243</v>
      </c>
      <c r="I243" s="16" t="s">
        <v>1244</v>
      </c>
      <c r="J243" s="16" t="s">
        <v>57</v>
      </c>
      <c r="K243" s="34" t="s">
        <v>1245</v>
      </c>
      <c r="L243" s="34" t="s">
        <v>1246</v>
      </c>
      <c r="M243" s="34"/>
      <c r="N243" s="34"/>
      <c r="O243" s="34"/>
      <c r="P243" s="34"/>
      <c r="Q243" s="34"/>
      <c r="R243" s="34"/>
      <c r="S243" s="34"/>
      <c r="U243" s="34"/>
      <c r="V243" s="34" t="s">
        <v>249</v>
      </c>
      <c r="W243" s="135">
        <v>20490</v>
      </c>
      <c r="X243" s="135" t="s">
        <v>708</v>
      </c>
      <c r="Y243" s="34" t="s">
        <v>929</v>
      </c>
      <c r="Z243" s="34"/>
      <c r="AA243" s="34"/>
      <c r="AB243" s="55" t="s">
        <v>251</v>
      </c>
      <c r="AC243" s="144">
        <v>45689</v>
      </c>
      <c r="AD243" s="109">
        <v>46082</v>
      </c>
      <c r="AE243" s="34"/>
      <c r="AF243" s="16">
        <f t="shared" si="8"/>
        <v>393</v>
      </c>
      <c r="AG243" s="110" t="s">
        <v>611</v>
      </c>
      <c r="AH243" s="34">
        <v>0</v>
      </c>
      <c r="AI243" s="34"/>
      <c r="AJ243" s="34"/>
      <c r="AK243" s="40">
        <v>9045</v>
      </c>
      <c r="AL243" s="34">
        <v>0</v>
      </c>
      <c r="AM243" s="131">
        <f t="shared" si="7"/>
        <v>9045</v>
      </c>
      <c r="AN243" s="25" t="s">
        <v>55</v>
      </c>
    </row>
    <row r="244" spans="1:40" ht="30" customHeight="1">
      <c r="A244" s="162"/>
      <c r="B244" s="17">
        <v>243</v>
      </c>
      <c r="C244" s="89">
        <v>46107</v>
      </c>
      <c r="D244" s="16" t="s">
        <v>1247</v>
      </c>
      <c r="E244" s="16" t="s">
        <v>973</v>
      </c>
      <c r="F244" s="16" t="s">
        <v>58</v>
      </c>
      <c r="G244" s="16" t="s">
        <v>43</v>
      </c>
      <c r="H244" s="16" t="s">
        <v>1248</v>
      </c>
      <c r="I244" s="16" t="s">
        <v>1249</v>
      </c>
      <c r="J244" s="16" t="s">
        <v>57</v>
      </c>
      <c r="K244" s="34" t="s">
        <v>1250</v>
      </c>
      <c r="L244" s="34" t="s">
        <v>1251</v>
      </c>
      <c r="M244" s="34"/>
      <c r="N244" s="34"/>
      <c r="O244" s="34"/>
      <c r="P244" s="34"/>
      <c r="Q244" s="34"/>
      <c r="R244" s="34"/>
      <c r="S244" s="34"/>
      <c r="U244" s="34"/>
      <c r="V244" s="34" t="s">
        <v>249</v>
      </c>
      <c r="W244" s="135">
        <v>17448</v>
      </c>
      <c r="X244" s="135" t="s">
        <v>107</v>
      </c>
      <c r="Y244" s="34" t="s">
        <v>929</v>
      </c>
      <c r="Z244" s="34"/>
      <c r="AA244" s="34"/>
      <c r="AB244" s="55" t="s">
        <v>251</v>
      </c>
      <c r="AC244" s="144">
        <v>45931</v>
      </c>
      <c r="AD244" s="109">
        <v>46082</v>
      </c>
      <c r="AE244" s="34"/>
      <c r="AF244" s="16">
        <f t="shared" si="8"/>
        <v>151</v>
      </c>
      <c r="AG244" s="16" t="s">
        <v>54</v>
      </c>
      <c r="AH244" s="34">
        <v>0</v>
      </c>
      <c r="AI244" s="34"/>
      <c r="AJ244" s="34"/>
      <c r="AK244" s="40">
        <v>9045</v>
      </c>
      <c r="AL244" s="34">
        <v>0</v>
      </c>
      <c r="AM244" s="131">
        <f t="shared" si="7"/>
        <v>9045</v>
      </c>
      <c r="AN244" s="25" t="s">
        <v>55</v>
      </c>
    </row>
    <row r="245" spans="1:40" ht="30" customHeight="1">
      <c r="A245" s="161">
        <v>46111</v>
      </c>
      <c r="B245" s="17">
        <v>244</v>
      </c>
      <c r="C245" s="89">
        <v>46108</v>
      </c>
      <c r="D245" s="16" t="s">
        <v>1073</v>
      </c>
      <c r="E245" s="16" t="s">
        <v>519</v>
      </c>
      <c r="F245" s="16" t="s">
        <v>42</v>
      </c>
      <c r="G245" s="16" t="s">
        <v>43</v>
      </c>
      <c r="H245" s="16" t="s">
        <v>1252</v>
      </c>
      <c r="I245" s="16" t="s">
        <v>1253</v>
      </c>
      <c r="J245" s="16" t="s">
        <v>57</v>
      </c>
      <c r="K245" s="34" t="s">
        <v>1254</v>
      </c>
      <c r="L245" s="34" t="s">
        <v>1255</v>
      </c>
      <c r="M245" s="34"/>
      <c r="N245" s="34"/>
      <c r="O245" s="34"/>
      <c r="P245" s="34"/>
      <c r="Q245" s="34"/>
      <c r="R245" s="34"/>
      <c r="S245" s="34"/>
      <c r="U245" s="34"/>
      <c r="V245" s="34" t="s">
        <v>249</v>
      </c>
      <c r="W245" s="135">
        <v>4715</v>
      </c>
      <c r="X245" s="135" t="s">
        <v>79</v>
      </c>
      <c r="Y245" s="34" t="s">
        <v>929</v>
      </c>
      <c r="Z245" s="34"/>
      <c r="AA245" s="34"/>
      <c r="AB245" s="55" t="s">
        <v>251</v>
      </c>
      <c r="AC245" s="144">
        <v>45778</v>
      </c>
      <c r="AD245" s="109">
        <v>46082</v>
      </c>
      <c r="AE245" s="34"/>
      <c r="AF245" s="16">
        <f t="shared" si="8"/>
        <v>304</v>
      </c>
      <c r="AG245" s="110" t="s">
        <v>611</v>
      </c>
      <c r="AH245" s="34">
        <v>0</v>
      </c>
      <c r="AI245" s="34"/>
      <c r="AJ245" s="34"/>
      <c r="AK245" s="40">
        <v>9045</v>
      </c>
      <c r="AL245" s="34">
        <v>0</v>
      </c>
      <c r="AM245" s="131">
        <f t="shared" si="7"/>
        <v>9045</v>
      </c>
      <c r="AN245" s="25" t="s">
        <v>55</v>
      </c>
    </row>
    <row r="246" spans="1:40" ht="30" customHeight="1">
      <c r="A246" s="162"/>
      <c r="B246" s="17">
        <v>245</v>
      </c>
      <c r="C246" s="89">
        <v>46108</v>
      </c>
      <c r="D246" s="16" t="s">
        <v>754</v>
      </c>
      <c r="E246" s="16" t="s">
        <v>1090</v>
      </c>
      <c r="F246" s="16" t="s">
        <v>92</v>
      </c>
      <c r="G246" s="16" t="s">
        <v>43</v>
      </c>
      <c r="H246" s="16" t="s">
        <v>1256</v>
      </c>
      <c r="I246" s="16" t="s">
        <v>1257</v>
      </c>
      <c r="J246" s="16" t="s">
        <v>57</v>
      </c>
      <c r="K246" s="34" t="s">
        <v>1258</v>
      </c>
      <c r="L246" s="34" t="s">
        <v>758</v>
      </c>
      <c r="M246" s="34"/>
      <c r="N246" s="34"/>
      <c r="O246" s="34"/>
      <c r="P246" s="34"/>
      <c r="Q246" s="34"/>
      <c r="R246" s="34"/>
      <c r="S246" s="34"/>
      <c r="U246" s="34"/>
      <c r="V246" s="34" t="s">
        <v>249</v>
      </c>
      <c r="W246" s="135">
        <v>31516</v>
      </c>
      <c r="X246" s="135" t="s">
        <v>844</v>
      </c>
      <c r="Y246" s="34" t="s">
        <v>929</v>
      </c>
      <c r="Z246" s="34"/>
      <c r="AA246" s="34"/>
      <c r="AB246" s="55" t="s">
        <v>251</v>
      </c>
      <c r="AC246" s="144">
        <v>45870</v>
      </c>
      <c r="AD246" s="109">
        <v>46082</v>
      </c>
      <c r="AE246" s="34"/>
      <c r="AF246" s="16">
        <f t="shared" si="8"/>
        <v>212</v>
      </c>
      <c r="AG246" s="16" t="s">
        <v>85</v>
      </c>
      <c r="AH246" s="34">
        <v>0</v>
      </c>
      <c r="AI246" s="34"/>
      <c r="AJ246" s="34"/>
      <c r="AK246" s="40">
        <v>9045</v>
      </c>
      <c r="AL246" s="34">
        <v>0</v>
      </c>
      <c r="AM246" s="131">
        <f t="shared" si="7"/>
        <v>9045</v>
      </c>
      <c r="AN246" s="25" t="s">
        <v>55</v>
      </c>
    </row>
    <row r="247" spans="1:40" ht="30" customHeight="1">
      <c r="A247" s="162"/>
      <c r="B247" s="17">
        <v>246</v>
      </c>
      <c r="C247" s="89">
        <v>46108</v>
      </c>
      <c r="D247" s="16" t="s">
        <v>748</v>
      </c>
      <c r="E247" s="16" t="s">
        <v>417</v>
      </c>
      <c r="F247" s="16" t="s">
        <v>98</v>
      </c>
      <c r="G247" s="16" t="s">
        <v>459</v>
      </c>
      <c r="H247" s="16" t="s">
        <v>1259</v>
      </c>
      <c r="I247" s="16" t="s">
        <v>1260</v>
      </c>
      <c r="J247" s="16" t="s">
        <v>1087</v>
      </c>
      <c r="K247" s="34" t="s">
        <v>1261</v>
      </c>
      <c r="L247" s="34" t="s">
        <v>1262</v>
      </c>
      <c r="M247" s="34"/>
      <c r="N247" s="34"/>
      <c r="O247" s="34"/>
      <c r="P247" s="34"/>
      <c r="Q247" s="34"/>
      <c r="R247" s="34"/>
      <c r="S247" s="34"/>
      <c r="U247" s="34"/>
      <c r="V247" s="34" t="s">
        <v>131</v>
      </c>
      <c r="W247" s="135">
        <v>401</v>
      </c>
      <c r="X247" s="135" t="s">
        <v>90</v>
      </c>
      <c r="Y247" s="34" t="s">
        <v>929</v>
      </c>
      <c r="Z247" s="34"/>
      <c r="AA247" s="34"/>
      <c r="AB247" s="55" t="s">
        <v>131</v>
      </c>
      <c r="AC247" s="144">
        <v>46054</v>
      </c>
      <c r="AD247" s="109">
        <v>46082</v>
      </c>
      <c r="AE247" s="34"/>
      <c r="AF247" s="16">
        <f t="shared" si="8"/>
        <v>28</v>
      </c>
      <c r="AG247" s="16" t="s">
        <v>101</v>
      </c>
      <c r="AH247" s="34">
        <v>49600</v>
      </c>
      <c r="AI247" s="34"/>
      <c r="AJ247" s="34"/>
      <c r="AK247" s="40">
        <v>9045</v>
      </c>
      <c r="AL247" s="34">
        <v>11200</v>
      </c>
      <c r="AM247" s="131">
        <f t="shared" si="7"/>
        <v>69845</v>
      </c>
      <c r="AN247" s="25" t="s">
        <v>55</v>
      </c>
    </row>
    <row r="248" spans="1:40" ht="30" customHeight="1">
      <c r="A248" s="162"/>
      <c r="B248" s="17">
        <v>247</v>
      </c>
      <c r="C248" s="89">
        <v>46109</v>
      </c>
      <c r="D248" s="16" t="s">
        <v>954</v>
      </c>
      <c r="E248" s="16" t="s">
        <v>955</v>
      </c>
      <c r="F248" s="16" t="s">
        <v>70</v>
      </c>
      <c r="G248" s="16" t="s">
        <v>71</v>
      </c>
      <c r="H248" s="16" t="s">
        <v>1263</v>
      </c>
      <c r="I248" s="16" t="s">
        <v>1264</v>
      </c>
      <c r="J248" s="16" t="s">
        <v>57</v>
      </c>
      <c r="K248" s="34" t="s">
        <v>1265</v>
      </c>
      <c r="L248" s="34" t="s">
        <v>959</v>
      </c>
      <c r="M248" s="34"/>
      <c r="N248" s="34"/>
      <c r="O248" s="34"/>
      <c r="P248" s="34"/>
      <c r="Q248" s="34" t="s">
        <v>185</v>
      </c>
      <c r="R248" s="34" t="s">
        <v>48</v>
      </c>
      <c r="S248" s="34"/>
      <c r="U248" s="34"/>
      <c r="V248" s="147" t="s">
        <v>1266</v>
      </c>
      <c r="W248" s="135">
        <v>26996</v>
      </c>
      <c r="X248" s="135" t="s">
        <v>534</v>
      </c>
      <c r="Y248" s="34" t="s">
        <v>141</v>
      </c>
      <c r="Z248" s="34"/>
      <c r="AA248" s="34"/>
      <c r="AB248" s="148" t="s">
        <v>185</v>
      </c>
      <c r="AC248" s="144">
        <v>45778</v>
      </c>
      <c r="AD248" s="109">
        <v>46082</v>
      </c>
      <c r="AE248" s="34"/>
      <c r="AF248" s="16">
        <f t="shared" si="8"/>
        <v>304</v>
      </c>
      <c r="AG248" s="110" t="s">
        <v>611</v>
      </c>
      <c r="AH248" s="40">
        <v>0</v>
      </c>
      <c r="AI248" s="40"/>
      <c r="AJ248" s="40"/>
      <c r="AK248" s="40">
        <v>5945</v>
      </c>
      <c r="AL248" s="44">
        <v>1038640.9600000001</v>
      </c>
      <c r="AM248" s="44">
        <f t="shared" si="7"/>
        <v>1044585.9600000001</v>
      </c>
      <c r="AN248" s="31" t="s">
        <v>132</v>
      </c>
    </row>
    <row r="249" spans="1:40" ht="30" customHeight="1">
      <c r="A249" s="162"/>
      <c r="B249" s="17">
        <v>248</v>
      </c>
      <c r="C249" s="89">
        <v>46109</v>
      </c>
      <c r="D249" s="16" t="s">
        <v>1267</v>
      </c>
      <c r="E249" s="16" t="s">
        <v>1268</v>
      </c>
      <c r="F249" s="16" t="s">
        <v>42</v>
      </c>
      <c r="G249" s="16" t="s">
        <v>43</v>
      </c>
      <c r="H249" s="16" t="s">
        <v>1269</v>
      </c>
      <c r="I249" s="16" t="s">
        <v>1270</v>
      </c>
      <c r="J249" s="16" t="s">
        <v>45</v>
      </c>
      <c r="K249" s="34" t="s">
        <v>1271</v>
      </c>
      <c r="L249" s="34" t="s">
        <v>1272</v>
      </c>
      <c r="M249" s="34"/>
      <c r="N249" s="34"/>
      <c r="O249" s="34"/>
      <c r="P249" s="34"/>
      <c r="Q249" s="34"/>
      <c r="R249" s="34"/>
      <c r="S249" s="34"/>
      <c r="U249" s="34"/>
      <c r="V249" s="34" t="s">
        <v>249</v>
      </c>
      <c r="W249" s="135">
        <v>7201</v>
      </c>
      <c r="X249" s="135" t="s">
        <v>87</v>
      </c>
      <c r="Y249" s="34" t="s">
        <v>929</v>
      </c>
      <c r="Z249" s="34"/>
      <c r="AA249" s="34"/>
      <c r="AB249" s="55" t="s">
        <v>251</v>
      </c>
      <c r="AC249" s="144">
        <v>45689</v>
      </c>
      <c r="AD249" s="109">
        <v>46082</v>
      </c>
      <c r="AE249" s="34"/>
      <c r="AF249" s="16">
        <f t="shared" si="8"/>
        <v>393</v>
      </c>
      <c r="AG249" s="110" t="s">
        <v>611</v>
      </c>
      <c r="AH249" s="34">
        <v>0</v>
      </c>
      <c r="AI249" s="34"/>
      <c r="AJ249" s="34"/>
      <c r="AK249" s="40">
        <v>9045</v>
      </c>
      <c r="AL249" s="34">
        <v>0</v>
      </c>
      <c r="AM249" s="131">
        <f t="shared" si="7"/>
        <v>9045</v>
      </c>
      <c r="AN249" s="25" t="s">
        <v>55</v>
      </c>
    </row>
    <row r="250" spans="1:40" ht="30" customHeight="1">
      <c r="A250" s="161">
        <v>46113</v>
      </c>
      <c r="B250" s="17">
        <v>249</v>
      </c>
      <c r="C250" s="89">
        <v>46111</v>
      </c>
      <c r="D250" s="16" t="s">
        <v>1226</v>
      </c>
      <c r="E250" s="16" t="s">
        <v>1158</v>
      </c>
      <c r="F250" s="16" t="s">
        <v>92</v>
      </c>
      <c r="G250" s="16" t="s">
        <v>43</v>
      </c>
      <c r="H250" s="16" t="s">
        <v>1273</v>
      </c>
      <c r="I250" s="16" t="s">
        <v>1274</v>
      </c>
      <c r="J250" s="16" t="s">
        <v>45</v>
      </c>
      <c r="K250" s="34" t="s">
        <v>1189</v>
      </c>
      <c r="L250" s="34" t="s">
        <v>1275</v>
      </c>
      <c r="M250" s="34"/>
      <c r="N250" s="34"/>
      <c r="O250" s="34"/>
      <c r="P250" s="34"/>
      <c r="Q250" s="34"/>
      <c r="R250" s="34"/>
      <c r="S250" s="34"/>
      <c r="U250" s="34"/>
      <c r="V250" s="34" t="s">
        <v>249</v>
      </c>
      <c r="W250" s="135">
        <v>7641</v>
      </c>
      <c r="X250" s="135" t="s">
        <v>87</v>
      </c>
      <c r="Y250" s="34" t="s">
        <v>929</v>
      </c>
      <c r="Z250" s="34"/>
      <c r="AA250" s="34"/>
      <c r="AB250" s="55" t="s">
        <v>251</v>
      </c>
      <c r="AC250" s="144">
        <v>45778</v>
      </c>
      <c r="AD250" s="109">
        <v>46082</v>
      </c>
      <c r="AE250" s="34"/>
      <c r="AF250" s="16">
        <f t="shared" si="8"/>
        <v>304</v>
      </c>
      <c r="AG250" s="110" t="s">
        <v>611</v>
      </c>
      <c r="AH250" s="34">
        <v>0</v>
      </c>
      <c r="AI250" s="34"/>
      <c r="AJ250" s="34"/>
      <c r="AK250" s="40">
        <v>9045</v>
      </c>
      <c r="AL250" s="34">
        <v>0</v>
      </c>
      <c r="AM250" s="131">
        <f t="shared" si="7"/>
        <v>9045</v>
      </c>
      <c r="AN250" s="25" t="s">
        <v>55</v>
      </c>
    </row>
    <row r="251" spans="1:40" ht="30" customHeight="1">
      <c r="A251" s="162"/>
      <c r="B251" s="17">
        <v>250</v>
      </c>
      <c r="C251" s="89">
        <v>46111</v>
      </c>
      <c r="D251" s="16" t="s">
        <v>1276</v>
      </c>
      <c r="E251" s="16" t="s">
        <v>1277</v>
      </c>
      <c r="F251" s="16" t="s">
        <v>1278</v>
      </c>
      <c r="G251" s="16" t="s">
        <v>459</v>
      </c>
      <c r="H251" s="16" t="s">
        <v>1279</v>
      </c>
      <c r="I251" s="16" t="s">
        <v>1280</v>
      </c>
      <c r="J251" s="16" t="s">
        <v>1087</v>
      </c>
      <c r="K251" s="34" t="s">
        <v>1281</v>
      </c>
      <c r="L251" s="34" t="s">
        <v>1282</v>
      </c>
      <c r="M251" s="34"/>
      <c r="N251" s="34"/>
      <c r="O251" s="34"/>
      <c r="P251" s="34"/>
      <c r="Q251" s="34"/>
      <c r="R251" s="34"/>
      <c r="S251" s="34"/>
      <c r="U251" s="34"/>
      <c r="V251" s="147" t="s">
        <v>454</v>
      </c>
      <c r="W251" s="135">
        <v>9054</v>
      </c>
      <c r="X251" s="135" t="s">
        <v>288</v>
      </c>
      <c r="Y251" s="34" t="s">
        <v>929</v>
      </c>
      <c r="Z251" s="34"/>
      <c r="AA251" s="34"/>
      <c r="AB251" s="148" t="s">
        <v>210</v>
      </c>
      <c r="AC251" s="144">
        <v>46023</v>
      </c>
      <c r="AD251" s="109">
        <v>46082</v>
      </c>
      <c r="AE251" s="34"/>
      <c r="AF251" s="16">
        <f t="shared" si="8"/>
        <v>59</v>
      </c>
      <c r="AG251" s="16" t="s">
        <v>101</v>
      </c>
      <c r="AH251" s="34">
        <v>30280</v>
      </c>
      <c r="AI251" s="20">
        <f>8*725</f>
        <v>5800</v>
      </c>
      <c r="AJ251" s="20">
        <f>4.5*725</f>
        <v>3262.5</v>
      </c>
      <c r="AK251" s="40">
        <v>9062</v>
      </c>
      <c r="AL251" s="130">
        <v>108782</v>
      </c>
      <c r="AM251" s="131">
        <f t="shared" si="7"/>
        <v>148124</v>
      </c>
      <c r="AN251" s="31" t="s">
        <v>132</v>
      </c>
    </row>
    <row r="252" spans="1:40" ht="30" customHeight="1">
      <c r="A252" s="162"/>
      <c r="B252" s="17">
        <v>251</v>
      </c>
      <c r="C252" s="89">
        <v>46111</v>
      </c>
      <c r="D252" s="16" t="s">
        <v>1216</v>
      </c>
      <c r="E252" s="16" t="s">
        <v>1217</v>
      </c>
      <c r="F252" s="16" t="s">
        <v>92</v>
      </c>
      <c r="G252" s="16" t="s">
        <v>43</v>
      </c>
      <c r="H252" s="16" t="s">
        <v>1283</v>
      </c>
      <c r="I252" s="16" t="s">
        <v>1284</v>
      </c>
      <c r="J252" s="16" t="s">
        <v>57</v>
      </c>
      <c r="K252" s="34" t="s">
        <v>1285</v>
      </c>
      <c r="L252" s="34" t="s">
        <v>1221</v>
      </c>
      <c r="M252" s="34"/>
      <c r="N252" s="34"/>
      <c r="O252" s="34"/>
      <c r="P252" s="34"/>
      <c r="Q252" s="34"/>
      <c r="R252" s="34"/>
      <c r="S252" s="34"/>
      <c r="U252" s="34"/>
      <c r="V252" s="34" t="s">
        <v>249</v>
      </c>
      <c r="W252" s="135">
        <v>16585</v>
      </c>
      <c r="X252" s="135" t="s">
        <v>107</v>
      </c>
      <c r="Y252" s="34" t="s">
        <v>929</v>
      </c>
      <c r="Z252" s="34"/>
      <c r="AA252" s="34"/>
      <c r="AB252" s="55" t="s">
        <v>251</v>
      </c>
      <c r="AC252" s="144">
        <v>45809</v>
      </c>
      <c r="AD252" s="109">
        <v>46082</v>
      </c>
      <c r="AE252" s="34"/>
      <c r="AF252" s="16">
        <f t="shared" si="8"/>
        <v>273</v>
      </c>
      <c r="AG252" s="110" t="s">
        <v>611</v>
      </c>
      <c r="AH252" s="34">
        <v>0</v>
      </c>
      <c r="AI252" s="34"/>
      <c r="AJ252" s="34"/>
      <c r="AK252" s="40">
        <v>9045</v>
      </c>
      <c r="AL252" s="34">
        <v>0</v>
      </c>
      <c r="AM252" s="131">
        <f t="shared" si="7"/>
        <v>9045</v>
      </c>
      <c r="AN252" s="25" t="s">
        <v>55</v>
      </c>
    </row>
    <row r="253" spans="1:40" ht="30" customHeight="1">
      <c r="A253" s="162"/>
      <c r="B253" s="17">
        <v>252</v>
      </c>
      <c r="C253" s="89">
        <v>46112</v>
      </c>
      <c r="D253" s="16" t="s">
        <v>1113</v>
      </c>
      <c r="E253" s="16" t="s">
        <v>832</v>
      </c>
      <c r="F253" s="16" t="s">
        <v>244</v>
      </c>
      <c r="G253" s="16" t="s">
        <v>43</v>
      </c>
      <c r="H253" s="16" t="s">
        <v>1286</v>
      </c>
      <c r="I253" s="16" t="s">
        <v>363</v>
      </c>
      <c r="J253" s="16" t="s">
        <v>57</v>
      </c>
      <c r="K253" s="34" t="s">
        <v>1189</v>
      </c>
      <c r="L253" s="34" t="s">
        <v>1116</v>
      </c>
      <c r="M253" s="34"/>
      <c r="N253" s="34"/>
      <c r="O253" s="34"/>
      <c r="P253" s="34"/>
      <c r="Q253" s="34"/>
      <c r="R253" s="34"/>
      <c r="S253" s="34"/>
      <c r="U253" s="34"/>
      <c r="V253" s="34" t="s">
        <v>249</v>
      </c>
      <c r="W253" s="135">
        <v>32100</v>
      </c>
      <c r="X253" s="135" t="s">
        <v>844</v>
      </c>
      <c r="Y253" s="34" t="s">
        <v>929</v>
      </c>
      <c r="Z253" s="34"/>
      <c r="AA253" s="34"/>
      <c r="AB253" s="55" t="s">
        <v>251</v>
      </c>
      <c r="AC253" s="144">
        <v>45658</v>
      </c>
      <c r="AD253" s="109">
        <v>46082</v>
      </c>
      <c r="AE253" s="34"/>
      <c r="AF253" s="16">
        <f t="shared" si="8"/>
        <v>424</v>
      </c>
      <c r="AG253" s="110" t="s">
        <v>611</v>
      </c>
      <c r="AH253" s="34">
        <v>0</v>
      </c>
      <c r="AI253" s="34"/>
      <c r="AJ253" s="34"/>
      <c r="AK253" s="40">
        <v>9045</v>
      </c>
      <c r="AL253" s="34">
        <v>0</v>
      </c>
      <c r="AM253" s="131">
        <f t="shared" si="7"/>
        <v>9045</v>
      </c>
      <c r="AN253" s="25" t="s">
        <v>55</v>
      </c>
    </row>
    <row r="254" spans="1:40" ht="30" customHeight="1">
      <c r="A254" s="162"/>
      <c r="B254" s="17">
        <v>253</v>
      </c>
      <c r="C254" s="89">
        <v>46112</v>
      </c>
      <c r="D254" s="16" t="s">
        <v>1287</v>
      </c>
      <c r="E254" s="16" t="s">
        <v>1288</v>
      </c>
      <c r="F254" s="16" t="s">
        <v>58</v>
      </c>
      <c r="G254" s="16" t="s">
        <v>43</v>
      </c>
      <c r="H254" s="16" t="s">
        <v>1289</v>
      </c>
      <c r="I254" s="16" t="s">
        <v>1290</v>
      </c>
      <c r="J254" s="16" t="s">
        <v>57</v>
      </c>
      <c r="K254" s="34" t="s">
        <v>1291</v>
      </c>
      <c r="L254" s="34" t="s">
        <v>1292</v>
      </c>
      <c r="M254" s="34"/>
      <c r="N254" s="34"/>
      <c r="O254" s="34"/>
      <c r="P254" s="34"/>
      <c r="Q254" s="34"/>
      <c r="R254" s="34"/>
      <c r="S254" s="34"/>
      <c r="U254" s="34"/>
      <c r="V254" s="34" t="s">
        <v>249</v>
      </c>
      <c r="W254" s="135">
        <v>12043</v>
      </c>
      <c r="X254" s="135" t="s">
        <v>67</v>
      </c>
      <c r="Y254" s="34" t="s">
        <v>929</v>
      </c>
      <c r="Z254" s="34"/>
      <c r="AA254" s="34"/>
      <c r="AB254" s="55" t="s">
        <v>251</v>
      </c>
      <c r="AC254" s="144">
        <v>45778</v>
      </c>
      <c r="AD254" s="109">
        <v>46082</v>
      </c>
      <c r="AE254" s="34"/>
      <c r="AF254" s="16">
        <f t="shared" si="8"/>
        <v>304</v>
      </c>
      <c r="AG254" s="110" t="s">
        <v>611</v>
      </c>
      <c r="AH254" s="34">
        <v>0</v>
      </c>
      <c r="AI254" s="34"/>
      <c r="AJ254" s="34"/>
      <c r="AK254" s="40">
        <v>9045</v>
      </c>
      <c r="AL254" s="34">
        <v>0</v>
      </c>
      <c r="AM254" s="131">
        <f t="shared" si="7"/>
        <v>9045</v>
      </c>
      <c r="AN254" s="25" t="s">
        <v>55</v>
      </c>
    </row>
    <row r="255" spans="1:40" ht="30" customHeight="1">
      <c r="A255" s="162"/>
      <c r="B255" s="17">
        <v>254</v>
      </c>
      <c r="C255" s="89">
        <v>46112</v>
      </c>
      <c r="D255" s="16" t="s">
        <v>1287</v>
      </c>
      <c r="E255" s="16" t="s">
        <v>1293</v>
      </c>
      <c r="F255" s="16" t="s">
        <v>58</v>
      </c>
      <c r="G255" s="16" t="s">
        <v>43</v>
      </c>
      <c r="H255" s="16" t="s">
        <v>1294</v>
      </c>
      <c r="I255" s="16" t="s">
        <v>1295</v>
      </c>
      <c r="J255" s="16" t="s">
        <v>729</v>
      </c>
      <c r="K255" s="34" t="s">
        <v>1296</v>
      </c>
      <c r="L255" s="34" t="s">
        <v>1297</v>
      </c>
      <c r="M255" s="34"/>
      <c r="N255" s="34"/>
      <c r="O255" s="34"/>
      <c r="P255" s="34"/>
      <c r="Q255" s="34"/>
      <c r="R255" s="34"/>
      <c r="S255" s="34"/>
      <c r="U255" s="34"/>
      <c r="V255" s="34" t="s">
        <v>249</v>
      </c>
      <c r="W255" s="135">
        <v>9998</v>
      </c>
      <c r="X255" s="135" t="s">
        <v>288</v>
      </c>
      <c r="Y255" s="34" t="s">
        <v>929</v>
      </c>
      <c r="Z255" s="34"/>
      <c r="AA255" s="34"/>
      <c r="AB255" s="55" t="s">
        <v>251</v>
      </c>
      <c r="AC255" s="144">
        <v>45870</v>
      </c>
      <c r="AD255" s="109">
        <v>46082</v>
      </c>
      <c r="AE255" s="34"/>
      <c r="AF255" s="16">
        <f t="shared" si="8"/>
        <v>212</v>
      </c>
      <c r="AG255" s="16" t="s">
        <v>85</v>
      </c>
      <c r="AH255" s="34">
        <v>0</v>
      </c>
      <c r="AI255" s="34"/>
      <c r="AJ255" s="34"/>
      <c r="AK255" s="40">
        <v>9045</v>
      </c>
      <c r="AL255" s="34">
        <v>0</v>
      </c>
      <c r="AM255" s="131">
        <f t="shared" si="7"/>
        <v>9045</v>
      </c>
      <c r="AN255" s="25" t="s">
        <v>55</v>
      </c>
    </row>
    <row r="256" spans="1:40" ht="30" customHeight="1">
      <c r="A256" s="162"/>
      <c r="B256" s="17">
        <v>255</v>
      </c>
      <c r="C256" s="89">
        <v>46112</v>
      </c>
      <c r="D256" s="16" t="s">
        <v>997</v>
      </c>
      <c r="E256" s="16" t="s">
        <v>1195</v>
      </c>
      <c r="F256" s="16" t="s">
        <v>58</v>
      </c>
      <c r="G256" s="16" t="s">
        <v>43</v>
      </c>
      <c r="H256" s="16" t="s">
        <v>1298</v>
      </c>
      <c r="I256" s="16" t="s">
        <v>1299</v>
      </c>
      <c r="J256" s="16" t="s">
        <v>57</v>
      </c>
      <c r="K256" s="34" t="s">
        <v>1300</v>
      </c>
      <c r="L256" s="34" t="s">
        <v>1301</v>
      </c>
      <c r="M256" s="34"/>
      <c r="N256" s="34"/>
      <c r="O256" s="34"/>
      <c r="P256" s="34"/>
      <c r="Q256" s="34"/>
      <c r="R256" s="34"/>
      <c r="S256" s="34"/>
      <c r="U256" s="34"/>
      <c r="V256" s="34" t="s">
        <v>249</v>
      </c>
      <c r="W256" s="135">
        <v>16814</v>
      </c>
      <c r="X256" s="135" t="s">
        <v>107</v>
      </c>
      <c r="Y256" s="34" t="s">
        <v>929</v>
      </c>
      <c r="Z256" s="34"/>
      <c r="AA256" s="34"/>
      <c r="AB256" s="55" t="s">
        <v>251</v>
      </c>
      <c r="AC256" s="144">
        <v>45748</v>
      </c>
      <c r="AD256" s="109">
        <v>46082</v>
      </c>
      <c r="AE256" s="34"/>
      <c r="AF256" s="16">
        <f t="shared" si="8"/>
        <v>334</v>
      </c>
      <c r="AG256" s="110" t="s">
        <v>611</v>
      </c>
      <c r="AH256" s="34">
        <v>0</v>
      </c>
      <c r="AI256" s="34"/>
      <c r="AJ256" s="34"/>
      <c r="AK256" s="40">
        <v>9045</v>
      </c>
      <c r="AL256" s="34">
        <v>0</v>
      </c>
      <c r="AM256" s="131">
        <f t="shared" si="7"/>
        <v>9045</v>
      </c>
      <c r="AN256" s="25" t="s">
        <v>55</v>
      </c>
    </row>
    <row r="257" spans="1:40" ht="30" customHeight="1">
      <c r="A257" s="162"/>
      <c r="B257" s="17">
        <v>256</v>
      </c>
      <c r="C257" s="89">
        <v>46112</v>
      </c>
      <c r="D257" s="16" t="s">
        <v>1043</v>
      </c>
      <c r="E257" s="16" t="s">
        <v>1044</v>
      </c>
      <c r="F257" s="16" t="s">
        <v>244</v>
      </c>
      <c r="G257" s="16" t="s">
        <v>43</v>
      </c>
      <c r="H257" s="16" t="s">
        <v>1302</v>
      </c>
      <c r="I257" s="16" t="s">
        <v>1303</v>
      </c>
      <c r="J257" s="16" t="s">
        <v>57</v>
      </c>
      <c r="K257" s="34" t="s">
        <v>1304</v>
      </c>
      <c r="L257" s="34" t="s">
        <v>1047</v>
      </c>
      <c r="M257" s="34"/>
      <c r="N257" s="34"/>
      <c r="O257" s="34"/>
      <c r="P257" s="34"/>
      <c r="Q257" s="34"/>
      <c r="R257" s="34"/>
      <c r="S257" s="34"/>
      <c r="U257" s="34"/>
      <c r="V257" s="34" t="s">
        <v>249</v>
      </c>
      <c r="W257" s="135">
        <v>18467</v>
      </c>
      <c r="X257" s="135" t="s">
        <v>107</v>
      </c>
      <c r="Y257" s="34" t="s">
        <v>929</v>
      </c>
      <c r="Z257" s="34"/>
      <c r="AA257" s="34"/>
      <c r="AB257" s="55" t="s">
        <v>251</v>
      </c>
      <c r="AC257" s="144">
        <v>45748</v>
      </c>
      <c r="AD257" s="109">
        <v>46082</v>
      </c>
      <c r="AE257" s="34"/>
      <c r="AF257" s="16">
        <f t="shared" si="8"/>
        <v>334</v>
      </c>
      <c r="AG257" s="110" t="s">
        <v>611</v>
      </c>
      <c r="AH257" s="34">
        <v>0</v>
      </c>
      <c r="AI257" s="34"/>
      <c r="AJ257" s="34"/>
      <c r="AK257" s="40">
        <v>9045</v>
      </c>
      <c r="AL257" s="34">
        <v>0</v>
      </c>
      <c r="AM257" s="131">
        <f t="shared" si="7"/>
        <v>9045</v>
      </c>
      <c r="AN257" s="25" t="s">
        <v>55</v>
      </c>
    </row>
    <row r="258" spans="1:40" s="138" customFormat="1" ht="30" customHeight="1">
      <c r="A258" s="162"/>
      <c r="B258" s="17">
        <v>257</v>
      </c>
      <c r="C258" s="137">
        <v>46112</v>
      </c>
      <c r="D258" s="92" t="s">
        <v>1305</v>
      </c>
      <c r="E258" s="92" t="s">
        <v>1306</v>
      </c>
      <c r="F258" s="92" t="s">
        <v>1278</v>
      </c>
      <c r="G258" s="92" t="s">
        <v>459</v>
      </c>
      <c r="H258" s="92" t="s">
        <v>1307</v>
      </c>
      <c r="I258" s="92" t="s">
        <v>1308</v>
      </c>
      <c r="J258" s="92" t="s">
        <v>57</v>
      </c>
      <c r="K258" s="95" t="s">
        <v>1309</v>
      </c>
      <c r="L258" s="95" t="s">
        <v>1310</v>
      </c>
      <c r="M258" s="95"/>
      <c r="N258" s="95"/>
      <c r="O258" s="95"/>
      <c r="P258" s="95"/>
      <c r="Q258" s="95"/>
      <c r="R258" s="95"/>
      <c r="S258" s="95"/>
      <c r="T258" s="95"/>
      <c r="U258" s="95"/>
      <c r="V258" s="138" t="s">
        <v>1081</v>
      </c>
      <c r="W258" s="95">
        <v>2852</v>
      </c>
      <c r="X258" s="95" t="s">
        <v>60</v>
      </c>
      <c r="Y258" s="95" t="s">
        <v>929</v>
      </c>
      <c r="Z258" s="95"/>
      <c r="AA258" s="95"/>
      <c r="AB258" s="95" t="s">
        <v>210</v>
      </c>
      <c r="AC258" s="149">
        <v>45658</v>
      </c>
      <c r="AD258" s="149">
        <v>46082</v>
      </c>
      <c r="AE258" s="95"/>
      <c r="AF258" s="92">
        <f t="shared" si="8"/>
        <v>424</v>
      </c>
      <c r="AG258" s="150" t="s">
        <v>611</v>
      </c>
      <c r="AH258" s="95">
        <v>40320</v>
      </c>
      <c r="AI258" s="97">
        <f>8*725</f>
        <v>5800</v>
      </c>
      <c r="AJ258" s="97">
        <f>4.5*725</f>
        <v>3262.5</v>
      </c>
      <c r="AK258" s="96">
        <v>9062</v>
      </c>
      <c r="AL258" s="142">
        <v>108782</v>
      </c>
      <c r="AM258" s="143">
        <f t="shared" si="7"/>
        <v>158164</v>
      </c>
      <c r="AN258" s="31" t="s">
        <v>132</v>
      </c>
    </row>
    <row r="259" spans="1:40" ht="30" customHeight="1">
      <c r="A259" s="161">
        <v>46115</v>
      </c>
      <c r="B259" s="17">
        <v>258</v>
      </c>
      <c r="C259" s="89">
        <v>46113</v>
      </c>
      <c r="D259" s="16" t="s">
        <v>573</v>
      </c>
      <c r="E259" s="16" t="s">
        <v>983</v>
      </c>
      <c r="F259" s="16" t="s">
        <v>235</v>
      </c>
      <c r="G259" s="16" t="s">
        <v>43</v>
      </c>
      <c r="H259" s="16" t="s">
        <v>1311</v>
      </c>
      <c r="I259" s="16" t="s">
        <v>1312</v>
      </c>
      <c r="J259" s="16" t="s">
        <v>57</v>
      </c>
      <c r="K259" s="34" t="s">
        <v>1180</v>
      </c>
      <c r="L259" s="34" t="s">
        <v>1313</v>
      </c>
      <c r="M259" s="34"/>
      <c r="N259" s="34"/>
      <c r="O259" s="34"/>
      <c r="P259" s="34"/>
      <c r="Q259" s="34"/>
      <c r="R259" s="34"/>
      <c r="S259" s="34"/>
      <c r="U259" s="34"/>
      <c r="V259" s="34" t="s">
        <v>249</v>
      </c>
      <c r="W259" s="135">
        <v>34298</v>
      </c>
      <c r="X259" s="135" t="s">
        <v>844</v>
      </c>
      <c r="Y259" s="34" t="s">
        <v>929</v>
      </c>
      <c r="Z259" s="34"/>
      <c r="AA259" s="34"/>
      <c r="AB259" s="55" t="s">
        <v>251</v>
      </c>
      <c r="AC259" s="144">
        <v>45748</v>
      </c>
      <c r="AD259" s="109">
        <v>46113</v>
      </c>
      <c r="AE259" s="34"/>
      <c r="AF259" s="16">
        <f t="shared" si="8"/>
        <v>365</v>
      </c>
      <c r="AG259" s="16" t="s">
        <v>611</v>
      </c>
      <c r="AH259" s="34">
        <v>0</v>
      </c>
      <c r="AI259" s="34"/>
      <c r="AJ259" s="34"/>
      <c r="AK259" s="40">
        <v>9045</v>
      </c>
      <c r="AL259" s="34">
        <v>0</v>
      </c>
      <c r="AM259" s="50">
        <f t="shared" si="7"/>
        <v>9045</v>
      </c>
      <c r="AN259" s="25" t="s">
        <v>55</v>
      </c>
    </row>
    <row r="260" spans="1:40" ht="30" customHeight="1">
      <c r="A260" s="162"/>
      <c r="B260" s="17">
        <v>259</v>
      </c>
      <c r="C260" s="89">
        <v>46113</v>
      </c>
      <c r="D260" s="16" t="s">
        <v>1190</v>
      </c>
      <c r="E260" s="16" t="s">
        <v>983</v>
      </c>
      <c r="F260" s="16" t="s">
        <v>235</v>
      </c>
      <c r="G260" s="16" t="s">
        <v>459</v>
      </c>
      <c r="H260" s="16" t="s">
        <v>1314</v>
      </c>
      <c r="I260" s="16" t="s">
        <v>1315</v>
      </c>
      <c r="J260" s="16" t="s">
        <v>45</v>
      </c>
      <c r="K260" s="34" t="s">
        <v>1316</v>
      </c>
      <c r="L260" s="34" t="s">
        <v>1194</v>
      </c>
      <c r="M260" s="34"/>
      <c r="N260" s="34"/>
      <c r="O260" s="34"/>
      <c r="P260" s="34"/>
      <c r="Q260" s="20" t="s">
        <v>988</v>
      </c>
      <c r="R260" s="34" t="s">
        <v>48</v>
      </c>
      <c r="S260" s="34"/>
      <c r="U260" s="34"/>
      <c r="V260" s="147" t="s">
        <v>139</v>
      </c>
      <c r="W260" s="135">
        <v>1577</v>
      </c>
      <c r="X260" s="135" t="s">
        <v>123</v>
      </c>
      <c r="Y260" s="34" t="s">
        <v>141</v>
      </c>
      <c r="Z260" s="34"/>
      <c r="AA260" s="34"/>
      <c r="AB260" s="148" t="s">
        <v>139</v>
      </c>
      <c r="AC260" s="144">
        <v>46023</v>
      </c>
      <c r="AD260" s="109">
        <v>46113</v>
      </c>
      <c r="AE260" s="34"/>
      <c r="AF260" s="16">
        <f t="shared" si="8"/>
        <v>90</v>
      </c>
      <c r="AG260" s="16" t="s">
        <v>101</v>
      </c>
      <c r="AH260" s="40">
        <v>0</v>
      </c>
      <c r="AI260" s="40"/>
      <c r="AJ260" s="40"/>
      <c r="AK260" s="40">
        <v>5945</v>
      </c>
      <c r="AL260" s="44">
        <v>1038640.9600000001</v>
      </c>
      <c r="AM260" s="44">
        <f t="shared" si="7"/>
        <v>1044585.9600000001</v>
      </c>
      <c r="AN260" s="31" t="s">
        <v>132</v>
      </c>
    </row>
    <row r="261" spans="1:40" ht="30" customHeight="1">
      <c r="A261" s="162"/>
      <c r="B261" s="17">
        <v>260</v>
      </c>
      <c r="C261" s="89">
        <v>46114</v>
      </c>
      <c r="D261" s="16" t="s">
        <v>1317</v>
      </c>
      <c r="E261" s="16" t="s">
        <v>1318</v>
      </c>
      <c r="F261" s="16" t="s">
        <v>70</v>
      </c>
      <c r="G261" s="16" t="s">
        <v>43</v>
      </c>
      <c r="H261" s="16" t="s">
        <v>1319</v>
      </c>
      <c r="I261" s="16" t="s">
        <v>1320</v>
      </c>
      <c r="J261" s="16" t="s">
        <v>45</v>
      </c>
      <c r="K261" s="34" t="s">
        <v>1053</v>
      </c>
      <c r="L261" s="34" t="s">
        <v>1321</v>
      </c>
      <c r="M261" s="34"/>
      <c r="N261" s="34"/>
      <c r="O261" s="34"/>
      <c r="P261" s="34"/>
      <c r="Q261" s="34"/>
      <c r="R261" s="34"/>
      <c r="S261" s="34"/>
      <c r="U261" s="34"/>
      <c r="V261" s="34" t="s">
        <v>249</v>
      </c>
      <c r="W261" s="135">
        <v>6552</v>
      </c>
      <c r="X261" s="135" t="s">
        <v>97</v>
      </c>
      <c r="Y261" s="34" t="s">
        <v>929</v>
      </c>
      <c r="Z261" s="34"/>
      <c r="AA261" s="34"/>
      <c r="AB261" s="55" t="s">
        <v>251</v>
      </c>
      <c r="AC261" s="144">
        <v>45809</v>
      </c>
      <c r="AD261" s="109">
        <v>46113</v>
      </c>
      <c r="AE261" s="34"/>
      <c r="AF261" s="16">
        <f t="shared" si="8"/>
        <v>304</v>
      </c>
      <c r="AG261" s="16" t="s">
        <v>611</v>
      </c>
      <c r="AH261" s="34">
        <v>0</v>
      </c>
      <c r="AI261" s="34"/>
      <c r="AJ261" s="34"/>
      <c r="AK261" s="40">
        <v>9045</v>
      </c>
      <c r="AL261" s="34">
        <v>0</v>
      </c>
      <c r="AM261" s="50">
        <f t="shared" si="7"/>
        <v>9045</v>
      </c>
      <c r="AN261" s="25" t="s">
        <v>55</v>
      </c>
    </row>
    <row r="262" spans="1:40" ht="30" customHeight="1">
      <c r="A262" s="162"/>
      <c r="B262" s="17">
        <v>261</v>
      </c>
      <c r="C262" s="89">
        <v>46114</v>
      </c>
      <c r="D262" s="16" t="s">
        <v>831</v>
      </c>
      <c r="E262" s="16" t="s">
        <v>1322</v>
      </c>
      <c r="F262" s="16" t="s">
        <v>244</v>
      </c>
      <c r="G262" s="16" t="s">
        <v>459</v>
      </c>
      <c r="H262" s="16" t="s">
        <v>1323</v>
      </c>
      <c r="I262" s="16" t="s">
        <v>1324</v>
      </c>
      <c r="J262" s="16" t="s">
        <v>45</v>
      </c>
      <c r="K262" s="34" t="s">
        <v>1325</v>
      </c>
      <c r="L262" s="34" t="s">
        <v>1326</v>
      </c>
      <c r="M262" s="34"/>
      <c r="N262" s="34"/>
      <c r="O262" s="34"/>
      <c r="P262" s="34"/>
      <c r="Q262" s="34" t="s">
        <v>185</v>
      </c>
      <c r="R262" s="34" t="s">
        <v>48</v>
      </c>
      <c r="S262" s="34"/>
      <c r="U262" s="34"/>
      <c r="V262" s="147" t="s">
        <v>1266</v>
      </c>
      <c r="W262" s="135">
        <v>10</v>
      </c>
      <c r="X262" s="135" t="s">
        <v>90</v>
      </c>
      <c r="Y262" s="34" t="s">
        <v>141</v>
      </c>
      <c r="Z262" s="34"/>
      <c r="AA262" s="34"/>
      <c r="AB262" s="148" t="s">
        <v>185</v>
      </c>
      <c r="AC262" s="144">
        <v>45931</v>
      </c>
      <c r="AD262" s="109">
        <v>46113</v>
      </c>
      <c r="AE262" s="34"/>
      <c r="AF262" s="16">
        <f t="shared" si="8"/>
        <v>182</v>
      </c>
      <c r="AG262" s="16" t="s">
        <v>85</v>
      </c>
      <c r="AH262" s="40">
        <v>0</v>
      </c>
      <c r="AI262" s="40"/>
      <c r="AJ262" s="40"/>
      <c r="AK262" s="40">
        <v>5945</v>
      </c>
      <c r="AL262" s="44">
        <v>1038640.9600000001</v>
      </c>
      <c r="AM262" s="44">
        <f t="shared" si="7"/>
        <v>1044585.9600000001</v>
      </c>
      <c r="AN262" s="31" t="s">
        <v>132</v>
      </c>
    </row>
    <row r="263" spans="1:40" ht="30" customHeight="1">
      <c r="A263" s="161">
        <v>46119</v>
      </c>
      <c r="B263" s="17">
        <v>262</v>
      </c>
      <c r="C263" s="89">
        <v>46118</v>
      </c>
      <c r="D263" s="16" t="s">
        <v>1327</v>
      </c>
      <c r="E263" s="16" t="s">
        <v>1328</v>
      </c>
      <c r="F263" s="16" t="s">
        <v>1329</v>
      </c>
      <c r="G263" s="16" t="s">
        <v>43</v>
      </c>
      <c r="H263" s="16" t="s">
        <v>1330</v>
      </c>
      <c r="I263" s="16" t="s">
        <v>1331</v>
      </c>
      <c r="J263" s="16" t="s">
        <v>57</v>
      </c>
      <c r="K263" s="34" t="s">
        <v>1332</v>
      </c>
      <c r="L263" s="34" t="s">
        <v>1333</v>
      </c>
      <c r="M263" s="34"/>
      <c r="N263" s="34"/>
      <c r="O263" s="34"/>
      <c r="P263" s="34"/>
      <c r="Q263" s="34"/>
      <c r="R263" s="34"/>
      <c r="S263" s="34"/>
      <c r="U263" s="34"/>
      <c r="V263" s="34" t="s">
        <v>249</v>
      </c>
      <c r="W263" s="135">
        <v>18348</v>
      </c>
      <c r="X263" s="135" t="s">
        <v>107</v>
      </c>
      <c r="Y263" s="34" t="s">
        <v>929</v>
      </c>
      <c r="Z263" s="34"/>
      <c r="AA263" s="34"/>
      <c r="AB263" s="148" t="s">
        <v>251</v>
      </c>
      <c r="AC263" s="144">
        <v>45778</v>
      </c>
      <c r="AD263" s="109">
        <v>46113</v>
      </c>
      <c r="AE263" s="34"/>
      <c r="AF263" s="16">
        <f t="shared" si="8"/>
        <v>335</v>
      </c>
      <c r="AG263" s="16" t="s">
        <v>611</v>
      </c>
      <c r="AH263" s="34">
        <v>0</v>
      </c>
      <c r="AI263" s="34"/>
      <c r="AJ263" s="34"/>
      <c r="AK263" s="40">
        <v>9045</v>
      </c>
      <c r="AL263" s="34">
        <v>0</v>
      </c>
      <c r="AM263" s="50">
        <f t="shared" ref="AM263:AM280" si="11">AH263+AK263+AL263</f>
        <v>9045</v>
      </c>
      <c r="AN263" s="25" t="s">
        <v>55</v>
      </c>
    </row>
    <row r="264" spans="1:40" ht="30" customHeight="1">
      <c r="A264" s="162"/>
      <c r="B264" s="17">
        <v>263</v>
      </c>
      <c r="C264" s="89">
        <v>46118</v>
      </c>
      <c r="D264" s="16" t="s">
        <v>1334</v>
      </c>
      <c r="E264" s="16" t="s">
        <v>1158</v>
      </c>
      <c r="F264" s="16" t="s">
        <v>92</v>
      </c>
      <c r="G264" s="16" t="s">
        <v>459</v>
      </c>
      <c r="H264" s="16" t="s">
        <v>1335</v>
      </c>
      <c r="I264" s="16" t="s">
        <v>1336</v>
      </c>
      <c r="J264" s="16" t="s">
        <v>57</v>
      </c>
      <c r="K264" s="34" t="s">
        <v>1337</v>
      </c>
      <c r="L264" s="34" t="s">
        <v>1338</v>
      </c>
      <c r="M264" s="34"/>
      <c r="N264" s="34"/>
      <c r="O264" s="34"/>
      <c r="P264" s="34"/>
      <c r="Q264" s="34" t="s">
        <v>185</v>
      </c>
      <c r="R264" s="34" t="s">
        <v>48</v>
      </c>
      <c r="S264" s="34"/>
      <c r="U264" s="34"/>
      <c r="V264" s="147" t="s">
        <v>1266</v>
      </c>
      <c r="W264" s="135">
        <v>20254</v>
      </c>
      <c r="X264" s="135" t="s">
        <v>708</v>
      </c>
      <c r="Y264" s="34" t="s">
        <v>1339</v>
      </c>
      <c r="Z264" s="34"/>
      <c r="AA264" s="34"/>
      <c r="AB264" s="148" t="s">
        <v>185</v>
      </c>
      <c r="AC264" s="144">
        <v>45689</v>
      </c>
      <c r="AD264" s="109">
        <v>46113</v>
      </c>
      <c r="AE264" s="34"/>
      <c r="AF264" s="16">
        <f t="shared" si="8"/>
        <v>424</v>
      </c>
      <c r="AG264" s="16" t="s">
        <v>611</v>
      </c>
      <c r="AH264" s="40">
        <v>0</v>
      </c>
      <c r="AI264" s="40"/>
      <c r="AJ264" s="40"/>
      <c r="AK264" s="40">
        <v>5945</v>
      </c>
      <c r="AL264" s="44">
        <v>1038640.9600000001</v>
      </c>
      <c r="AM264" s="44">
        <f t="shared" si="11"/>
        <v>1044585.9600000001</v>
      </c>
      <c r="AN264" s="31" t="s">
        <v>132</v>
      </c>
    </row>
    <row r="265" spans="1:40" ht="30" customHeight="1">
      <c r="A265" s="163"/>
      <c r="B265" s="17">
        <v>264</v>
      </c>
      <c r="C265" s="127">
        <v>46118</v>
      </c>
      <c r="D265" s="115" t="s">
        <v>856</v>
      </c>
      <c r="E265" s="115" t="s">
        <v>1182</v>
      </c>
      <c r="F265" s="115" t="s">
        <v>388</v>
      </c>
      <c r="G265" s="115" t="s">
        <v>71</v>
      </c>
      <c r="H265" s="115" t="s">
        <v>1340</v>
      </c>
      <c r="I265" s="115" t="s">
        <v>1341</v>
      </c>
      <c r="J265" s="115" t="s">
        <v>1087</v>
      </c>
      <c r="K265" s="43" t="s">
        <v>1342</v>
      </c>
      <c r="L265" s="43" t="s">
        <v>1343</v>
      </c>
      <c r="M265" s="43"/>
      <c r="N265" s="43"/>
      <c r="O265" s="43"/>
      <c r="P265" s="43"/>
      <c r="Q265" s="43"/>
      <c r="R265" s="43"/>
      <c r="S265" s="43"/>
      <c r="T265" s="43"/>
      <c r="U265" s="43"/>
      <c r="V265" s="151" t="s">
        <v>454</v>
      </c>
      <c r="W265" s="145">
        <v>3779</v>
      </c>
      <c r="X265" s="145" t="s">
        <v>94</v>
      </c>
      <c r="Y265" s="43" t="s">
        <v>929</v>
      </c>
      <c r="Z265" s="43"/>
      <c r="AA265" s="43"/>
      <c r="AB265" s="132" t="s">
        <v>210</v>
      </c>
      <c r="AC265" s="146">
        <v>46023</v>
      </c>
      <c r="AD265" s="121">
        <v>46113</v>
      </c>
      <c r="AE265" s="43"/>
      <c r="AF265" s="115">
        <f t="shared" ref="AF265:AF286" si="12">AD265-AC265</f>
        <v>90</v>
      </c>
      <c r="AG265" s="115" t="s">
        <v>101</v>
      </c>
      <c r="AH265" s="43">
        <v>80000</v>
      </c>
      <c r="AI265" s="20">
        <f>8*725</f>
        <v>5800</v>
      </c>
      <c r="AJ265" s="20">
        <f>4.5*725</f>
        <v>3262.5</v>
      </c>
      <c r="AK265" s="40">
        <v>9062</v>
      </c>
      <c r="AL265" s="130">
        <v>108782</v>
      </c>
      <c r="AM265" s="43">
        <f t="shared" si="11"/>
        <v>197844</v>
      </c>
      <c r="AN265" s="31" t="s">
        <v>132</v>
      </c>
    </row>
    <row r="266" spans="1:40" ht="30" customHeight="1">
      <c r="A266" s="161">
        <v>46121</v>
      </c>
      <c r="B266" s="17">
        <v>265</v>
      </c>
      <c r="C266" s="89">
        <v>46119</v>
      </c>
      <c r="D266" s="16" t="s">
        <v>68</v>
      </c>
      <c r="E266" s="16" t="s">
        <v>883</v>
      </c>
      <c r="F266" s="16" t="s">
        <v>70</v>
      </c>
      <c r="G266" s="16" t="s">
        <v>43</v>
      </c>
      <c r="H266" s="16" t="s">
        <v>1344</v>
      </c>
      <c r="I266" s="16" t="s">
        <v>1345</v>
      </c>
      <c r="J266" s="16" t="s">
        <v>57</v>
      </c>
      <c r="K266" s="34" t="s">
        <v>1346</v>
      </c>
      <c r="L266" s="34" t="s">
        <v>1347</v>
      </c>
      <c r="M266" s="34"/>
      <c r="N266" s="34"/>
      <c r="O266" s="34"/>
      <c r="P266" s="34"/>
      <c r="Q266" s="34"/>
      <c r="R266" s="34"/>
      <c r="S266" s="34"/>
      <c r="U266" s="34"/>
      <c r="V266" s="34" t="s">
        <v>249</v>
      </c>
      <c r="W266" s="135">
        <v>12851</v>
      </c>
      <c r="X266" s="135" t="s">
        <v>67</v>
      </c>
      <c r="Y266" s="43" t="s">
        <v>929</v>
      </c>
      <c r="Z266" s="34"/>
      <c r="AA266" s="34"/>
      <c r="AB266" s="148" t="s">
        <v>251</v>
      </c>
      <c r="AC266" s="146">
        <v>45778</v>
      </c>
      <c r="AD266" s="109">
        <v>46113</v>
      </c>
      <c r="AE266" s="34"/>
      <c r="AF266" s="16">
        <f t="shared" si="12"/>
        <v>335</v>
      </c>
      <c r="AG266" s="16" t="s">
        <v>611</v>
      </c>
      <c r="AH266" s="34">
        <v>0</v>
      </c>
      <c r="AI266" s="34"/>
      <c r="AJ266" s="34"/>
      <c r="AK266" s="40">
        <v>9045</v>
      </c>
      <c r="AL266" s="34">
        <v>0</v>
      </c>
      <c r="AM266" s="50">
        <f t="shared" si="11"/>
        <v>9045</v>
      </c>
      <c r="AN266" s="25" t="s">
        <v>55</v>
      </c>
    </row>
    <row r="267" spans="1:40" ht="30" customHeight="1">
      <c r="A267" s="162"/>
      <c r="B267" s="17">
        <v>266</v>
      </c>
      <c r="C267" s="89">
        <v>46119</v>
      </c>
      <c r="D267" s="16" t="s">
        <v>1073</v>
      </c>
      <c r="E267" s="16" t="s">
        <v>1074</v>
      </c>
      <c r="F267" s="16" t="s">
        <v>70</v>
      </c>
      <c r="G267" s="16" t="s">
        <v>43</v>
      </c>
      <c r="H267" s="16" t="s">
        <v>1348</v>
      </c>
      <c r="I267" s="16" t="s">
        <v>1349</v>
      </c>
      <c r="J267" s="16" t="s">
        <v>57</v>
      </c>
      <c r="K267" s="34" t="s">
        <v>1236</v>
      </c>
      <c r="L267" s="34" t="s">
        <v>1350</v>
      </c>
      <c r="M267" s="34"/>
      <c r="N267" s="34"/>
      <c r="O267" s="34"/>
      <c r="P267" s="34"/>
      <c r="Q267" s="34"/>
      <c r="R267" s="34"/>
      <c r="S267" s="34"/>
      <c r="U267" s="34"/>
      <c r="V267" s="34" t="s">
        <v>249</v>
      </c>
      <c r="W267" s="135">
        <v>12342</v>
      </c>
      <c r="X267" s="135" t="s">
        <v>67</v>
      </c>
      <c r="Y267" s="43" t="s">
        <v>929</v>
      </c>
      <c r="Z267" s="34"/>
      <c r="AA267" s="34"/>
      <c r="AB267" s="148" t="s">
        <v>251</v>
      </c>
      <c r="AC267" s="146">
        <v>45839</v>
      </c>
      <c r="AD267" s="121">
        <v>46113</v>
      </c>
      <c r="AE267" s="34"/>
      <c r="AF267" s="115">
        <f t="shared" si="12"/>
        <v>274</v>
      </c>
      <c r="AG267" s="16" t="s">
        <v>611</v>
      </c>
      <c r="AH267" s="34">
        <v>0</v>
      </c>
      <c r="AI267" s="34"/>
      <c r="AJ267" s="34"/>
      <c r="AK267" s="40">
        <v>9045</v>
      </c>
      <c r="AL267" s="34">
        <v>0</v>
      </c>
      <c r="AM267" s="50">
        <f t="shared" si="11"/>
        <v>9045</v>
      </c>
      <c r="AN267" s="25" t="s">
        <v>55</v>
      </c>
    </row>
    <row r="268" spans="1:40" ht="30" customHeight="1">
      <c r="A268" s="162"/>
      <c r="B268" s="17">
        <v>267</v>
      </c>
      <c r="C268" s="89">
        <v>46120</v>
      </c>
      <c r="D268" s="16" t="s">
        <v>573</v>
      </c>
      <c r="E268" s="16" t="s">
        <v>983</v>
      </c>
      <c r="F268" s="16" t="s">
        <v>235</v>
      </c>
      <c r="G268" s="16" t="s">
        <v>43</v>
      </c>
      <c r="H268" s="16" t="s">
        <v>1351</v>
      </c>
      <c r="I268" s="16" t="s">
        <v>1352</v>
      </c>
      <c r="J268" s="16" t="s">
        <v>57</v>
      </c>
      <c r="K268" s="34" t="s">
        <v>1180</v>
      </c>
      <c r="L268" s="34" t="s">
        <v>1181</v>
      </c>
      <c r="M268" s="34"/>
      <c r="N268" s="34"/>
      <c r="O268" s="34"/>
      <c r="P268" s="34"/>
      <c r="Q268" s="34"/>
      <c r="R268" s="34"/>
      <c r="S268" s="34"/>
      <c r="U268" s="34"/>
      <c r="V268" s="34" t="s">
        <v>249</v>
      </c>
      <c r="W268" s="135">
        <v>10703</v>
      </c>
      <c r="X268" s="135" t="s">
        <v>67</v>
      </c>
      <c r="Y268" s="43" t="s">
        <v>929</v>
      </c>
      <c r="Z268" s="34"/>
      <c r="AA268" s="34"/>
      <c r="AB268" s="148" t="s">
        <v>251</v>
      </c>
      <c r="AC268" s="146">
        <v>45778</v>
      </c>
      <c r="AD268" s="109">
        <v>46113</v>
      </c>
      <c r="AE268" s="34"/>
      <c r="AF268" s="16">
        <f t="shared" si="12"/>
        <v>335</v>
      </c>
      <c r="AG268" s="16" t="s">
        <v>611</v>
      </c>
      <c r="AH268" s="34">
        <v>0</v>
      </c>
      <c r="AI268" s="34"/>
      <c r="AJ268" s="34"/>
      <c r="AK268" s="40">
        <v>9045</v>
      </c>
      <c r="AL268" s="34">
        <v>0</v>
      </c>
      <c r="AM268" s="50">
        <f t="shared" si="11"/>
        <v>9045</v>
      </c>
      <c r="AN268" s="25" t="s">
        <v>55</v>
      </c>
    </row>
    <row r="269" spans="1:40" ht="30" customHeight="1">
      <c r="A269" s="163"/>
      <c r="B269" s="17">
        <v>268</v>
      </c>
      <c r="C269" s="127">
        <v>46120</v>
      </c>
      <c r="D269" s="115" t="s">
        <v>831</v>
      </c>
      <c r="E269" s="115" t="s">
        <v>1353</v>
      </c>
      <c r="F269" s="115" t="s">
        <v>244</v>
      </c>
      <c r="G269" s="115" t="s">
        <v>43</v>
      </c>
      <c r="H269" s="115" t="s">
        <v>1354</v>
      </c>
      <c r="I269" s="115" t="s">
        <v>1355</v>
      </c>
      <c r="J269" s="115" t="s">
        <v>57</v>
      </c>
      <c r="K269" s="43" t="s">
        <v>1189</v>
      </c>
      <c r="L269" s="43" t="s">
        <v>1356</v>
      </c>
      <c r="M269" s="43"/>
      <c r="N269" s="43"/>
      <c r="O269" s="43"/>
      <c r="P269" s="43"/>
      <c r="Q269" s="43"/>
      <c r="R269" s="43"/>
      <c r="S269" s="43"/>
      <c r="T269" s="43"/>
      <c r="U269" s="43"/>
      <c r="V269" s="43" t="s">
        <v>249</v>
      </c>
      <c r="W269" s="145">
        <v>21280</v>
      </c>
      <c r="X269" s="145" t="s">
        <v>708</v>
      </c>
      <c r="Y269" s="43" t="s">
        <v>929</v>
      </c>
      <c r="Z269" s="43"/>
      <c r="AA269" s="43"/>
      <c r="AB269" s="132" t="s">
        <v>251</v>
      </c>
      <c r="AC269" s="146">
        <v>45809</v>
      </c>
      <c r="AD269" s="121">
        <v>46113</v>
      </c>
      <c r="AE269" s="43"/>
      <c r="AF269" s="115">
        <f t="shared" si="12"/>
        <v>304</v>
      </c>
      <c r="AG269" s="115" t="s">
        <v>611</v>
      </c>
      <c r="AH269" s="43">
        <v>0</v>
      </c>
      <c r="AI269" s="43"/>
      <c r="AJ269" s="43"/>
      <c r="AK269" s="71">
        <v>9045</v>
      </c>
      <c r="AL269" s="43">
        <v>0</v>
      </c>
      <c r="AM269" s="131">
        <f t="shared" si="11"/>
        <v>9045</v>
      </c>
      <c r="AN269" s="25" t="s">
        <v>55</v>
      </c>
    </row>
    <row r="270" spans="1:40" ht="30" customHeight="1">
      <c r="A270" s="161">
        <v>46123</v>
      </c>
      <c r="B270" s="17">
        <v>269</v>
      </c>
      <c r="C270" s="89">
        <v>46121</v>
      </c>
      <c r="D270" s="16" t="s">
        <v>1357</v>
      </c>
      <c r="E270" s="16" t="s">
        <v>1149</v>
      </c>
      <c r="F270" s="16" t="s">
        <v>458</v>
      </c>
      <c r="G270" s="16" t="s">
        <v>43</v>
      </c>
      <c r="H270" s="16" t="s">
        <v>1358</v>
      </c>
      <c r="I270" s="16" t="s">
        <v>1359</v>
      </c>
      <c r="J270" s="16" t="s">
        <v>57</v>
      </c>
      <c r="K270" s="34" t="s">
        <v>1360</v>
      </c>
      <c r="L270" s="34" t="s">
        <v>1361</v>
      </c>
      <c r="M270" s="34"/>
      <c r="N270" s="34"/>
      <c r="O270" s="34"/>
      <c r="P270" s="34"/>
      <c r="Q270" s="34"/>
      <c r="R270" s="34"/>
      <c r="S270" s="34"/>
      <c r="U270" s="34"/>
      <c r="V270" s="34" t="s">
        <v>249</v>
      </c>
      <c r="W270" s="135">
        <v>8570</v>
      </c>
      <c r="X270" s="135" t="s">
        <v>50</v>
      </c>
      <c r="Y270" s="34" t="s">
        <v>929</v>
      </c>
      <c r="Z270" s="34"/>
      <c r="AA270" s="34"/>
      <c r="AB270" s="148" t="s">
        <v>251</v>
      </c>
      <c r="AC270" s="146">
        <v>45809</v>
      </c>
      <c r="AD270" s="109">
        <v>46113</v>
      </c>
      <c r="AE270" s="34"/>
      <c r="AF270" s="16">
        <f t="shared" si="12"/>
        <v>304</v>
      </c>
      <c r="AG270" s="16" t="s">
        <v>611</v>
      </c>
      <c r="AH270" s="34">
        <v>0</v>
      </c>
      <c r="AI270" s="34"/>
      <c r="AJ270" s="34"/>
      <c r="AK270" s="40">
        <v>9045</v>
      </c>
      <c r="AL270" s="34">
        <v>0</v>
      </c>
      <c r="AM270" s="50">
        <f t="shared" si="11"/>
        <v>9045</v>
      </c>
      <c r="AN270" s="25" t="s">
        <v>55</v>
      </c>
    </row>
    <row r="271" spans="1:40" ht="30" customHeight="1">
      <c r="A271" s="162"/>
      <c r="B271" s="17">
        <v>270</v>
      </c>
      <c r="C271" s="89">
        <v>46122</v>
      </c>
      <c r="D271" s="16" t="s">
        <v>1118</v>
      </c>
      <c r="E271" s="16" t="s">
        <v>1173</v>
      </c>
      <c r="F271" s="16" t="s">
        <v>92</v>
      </c>
      <c r="G271" s="16" t="s">
        <v>43</v>
      </c>
      <c r="H271" s="16" t="s">
        <v>1362</v>
      </c>
      <c r="I271" s="16" t="s">
        <v>1363</v>
      </c>
      <c r="J271" s="16" t="s">
        <v>57</v>
      </c>
      <c r="K271" s="34" t="s">
        <v>1364</v>
      </c>
      <c r="L271" s="34" t="s">
        <v>1177</v>
      </c>
      <c r="M271" s="34"/>
      <c r="N271" s="34"/>
      <c r="O271" s="34"/>
      <c r="P271" s="34"/>
      <c r="Q271" s="34"/>
      <c r="R271" s="34"/>
      <c r="S271" s="34"/>
      <c r="U271" s="34"/>
      <c r="V271" s="34" t="s">
        <v>249</v>
      </c>
      <c r="W271" s="135">
        <v>21206</v>
      </c>
      <c r="X271" s="135" t="s">
        <v>708</v>
      </c>
      <c r="Y271" s="34" t="s">
        <v>929</v>
      </c>
      <c r="Z271" s="34"/>
      <c r="AA271" s="34"/>
      <c r="AB271" s="148" t="s">
        <v>251</v>
      </c>
      <c r="AC271" s="146">
        <v>45778</v>
      </c>
      <c r="AD271" s="109">
        <v>46113</v>
      </c>
      <c r="AE271" s="34"/>
      <c r="AF271" s="115">
        <f t="shared" si="12"/>
        <v>335</v>
      </c>
      <c r="AG271" s="115" t="s">
        <v>611</v>
      </c>
      <c r="AH271" s="34">
        <v>0</v>
      </c>
      <c r="AI271" s="34"/>
      <c r="AJ271" s="34"/>
      <c r="AK271" s="40">
        <v>9045</v>
      </c>
      <c r="AL271" s="34">
        <v>0</v>
      </c>
      <c r="AM271" s="50">
        <f t="shared" si="11"/>
        <v>9045</v>
      </c>
      <c r="AN271" s="25" t="s">
        <v>55</v>
      </c>
    </row>
    <row r="272" spans="1:40" ht="30" customHeight="1">
      <c r="A272" s="164">
        <v>46129</v>
      </c>
      <c r="B272" s="17">
        <v>271</v>
      </c>
      <c r="C272" s="127">
        <v>46126</v>
      </c>
      <c r="D272" s="115" t="s">
        <v>1055</v>
      </c>
      <c r="E272" s="115" t="s">
        <v>1056</v>
      </c>
      <c r="F272" s="115" t="s">
        <v>61</v>
      </c>
      <c r="G272" s="115" t="s">
        <v>43</v>
      </c>
      <c r="H272" s="115" t="s">
        <v>1365</v>
      </c>
      <c r="I272" s="115" t="s">
        <v>1366</v>
      </c>
      <c r="J272" s="115" t="s">
        <v>1087</v>
      </c>
      <c r="K272" s="43" t="s">
        <v>1367</v>
      </c>
      <c r="L272" s="43" t="s">
        <v>1060</v>
      </c>
      <c r="M272" s="43"/>
      <c r="N272" s="43"/>
      <c r="O272" s="43"/>
      <c r="P272" s="43"/>
      <c r="Q272" s="43"/>
      <c r="R272" s="43"/>
      <c r="S272" s="43"/>
      <c r="T272" s="43"/>
      <c r="U272" s="43"/>
      <c r="V272" s="151"/>
      <c r="W272" s="145">
        <v>1011</v>
      </c>
      <c r="X272" s="145" t="s">
        <v>123</v>
      </c>
      <c r="Y272" s="43" t="s">
        <v>1339</v>
      </c>
      <c r="Z272" s="43"/>
      <c r="AA272" s="43"/>
      <c r="AB272" s="132" t="s">
        <v>1368</v>
      </c>
      <c r="AC272" s="146">
        <v>46082</v>
      </c>
      <c r="AD272" s="121">
        <v>46113</v>
      </c>
      <c r="AE272" s="43"/>
      <c r="AF272" s="115">
        <f t="shared" si="12"/>
        <v>31</v>
      </c>
      <c r="AG272" s="115" t="s">
        <v>101</v>
      </c>
      <c r="AH272" s="71">
        <v>0</v>
      </c>
      <c r="AI272" s="71"/>
      <c r="AJ272" s="71"/>
      <c r="AK272" s="71">
        <v>5945</v>
      </c>
      <c r="AL272" s="130">
        <v>1038640.9600000001</v>
      </c>
      <c r="AM272" s="130">
        <f t="shared" si="11"/>
        <v>1044585.9600000001</v>
      </c>
      <c r="AN272" s="31" t="s">
        <v>132</v>
      </c>
    </row>
    <row r="273" spans="1:40" ht="30" customHeight="1">
      <c r="A273" s="162"/>
      <c r="B273" s="17">
        <v>272</v>
      </c>
      <c r="C273" s="89">
        <v>46120</v>
      </c>
      <c r="D273" s="16" t="s">
        <v>1369</v>
      </c>
      <c r="E273" s="16" t="s">
        <v>1158</v>
      </c>
      <c r="F273" s="16" t="s">
        <v>92</v>
      </c>
      <c r="G273" s="16" t="s">
        <v>459</v>
      </c>
      <c r="H273" s="16"/>
      <c r="I273" s="16" t="s">
        <v>1370</v>
      </c>
      <c r="J273" s="16" t="s">
        <v>1087</v>
      </c>
      <c r="K273" s="34" t="s">
        <v>1371</v>
      </c>
      <c r="L273" s="34" t="s">
        <v>1372</v>
      </c>
      <c r="M273" s="34"/>
      <c r="N273" s="34"/>
      <c r="O273" s="34"/>
      <c r="P273" s="34"/>
      <c r="Q273" s="34"/>
      <c r="R273" s="34"/>
      <c r="S273" s="34"/>
      <c r="U273" s="34"/>
      <c r="V273" s="147" t="s">
        <v>1373</v>
      </c>
      <c r="W273" s="135">
        <v>1891</v>
      </c>
      <c r="X273" s="135" t="s">
        <v>123</v>
      </c>
      <c r="Y273" s="34" t="s">
        <v>929</v>
      </c>
      <c r="Z273" s="34"/>
      <c r="AA273" s="34"/>
      <c r="AB273" s="148" t="s">
        <v>131</v>
      </c>
      <c r="AC273" s="144">
        <v>46023</v>
      </c>
      <c r="AD273" s="109">
        <v>46113</v>
      </c>
      <c r="AE273" s="34"/>
      <c r="AF273" s="16">
        <f t="shared" si="12"/>
        <v>90</v>
      </c>
      <c r="AG273" s="16" t="s">
        <v>101</v>
      </c>
      <c r="AH273" s="34">
        <v>1600</v>
      </c>
      <c r="AI273" s="34"/>
      <c r="AJ273" s="34"/>
      <c r="AK273" s="40">
        <v>9045</v>
      </c>
      <c r="AL273" s="34">
        <v>11200</v>
      </c>
      <c r="AM273" s="131">
        <f t="shared" si="11"/>
        <v>21845</v>
      </c>
      <c r="AN273" s="25" t="s">
        <v>55</v>
      </c>
    </row>
    <row r="274" spans="1:40" ht="30" customHeight="1">
      <c r="A274" s="162"/>
      <c r="B274" s="17">
        <v>273</v>
      </c>
      <c r="C274" s="89">
        <v>46127</v>
      </c>
      <c r="D274" s="16" t="s">
        <v>1374</v>
      </c>
      <c r="E274" s="16" t="s">
        <v>1375</v>
      </c>
      <c r="F274" s="16" t="s">
        <v>458</v>
      </c>
      <c r="G274" s="16" t="s">
        <v>459</v>
      </c>
      <c r="H274" s="16" t="s">
        <v>1376</v>
      </c>
      <c r="I274" s="16" t="s">
        <v>1377</v>
      </c>
      <c r="J274" s="16" t="s">
        <v>1087</v>
      </c>
      <c r="K274" s="34" t="s">
        <v>1378</v>
      </c>
      <c r="L274" s="34" t="s">
        <v>1379</v>
      </c>
      <c r="M274" s="34"/>
      <c r="N274" s="34"/>
      <c r="O274" s="34"/>
      <c r="P274" s="34"/>
      <c r="Q274" s="34"/>
      <c r="R274" s="34"/>
      <c r="S274" s="34"/>
      <c r="U274" s="34"/>
      <c r="V274" s="147" t="s">
        <v>454</v>
      </c>
      <c r="W274" s="135">
        <v>1953</v>
      </c>
      <c r="X274" s="135" t="s">
        <v>123</v>
      </c>
      <c r="Y274" s="34" t="s">
        <v>929</v>
      </c>
      <c r="Z274" s="34"/>
      <c r="AA274" s="34"/>
      <c r="AB274" s="148" t="s">
        <v>210</v>
      </c>
      <c r="AC274" s="144">
        <v>46023</v>
      </c>
      <c r="AD274" s="109">
        <v>46113</v>
      </c>
      <c r="AE274" s="34"/>
      <c r="AF274" s="16">
        <f t="shared" si="12"/>
        <v>90</v>
      </c>
      <c r="AG274" s="16" t="s">
        <v>101</v>
      </c>
      <c r="AH274" s="34">
        <v>22240</v>
      </c>
      <c r="AI274" s="20">
        <f t="shared" ref="AI274:AI276" si="13">8*725</f>
        <v>5800</v>
      </c>
      <c r="AJ274" s="20">
        <f t="shared" ref="AJ274:AJ276" si="14">4.5*725</f>
        <v>3262.5</v>
      </c>
      <c r="AK274" s="40">
        <v>9062</v>
      </c>
      <c r="AL274" s="44">
        <v>108782</v>
      </c>
      <c r="AM274" s="34">
        <f t="shared" si="11"/>
        <v>140084</v>
      </c>
      <c r="AN274" s="31" t="s">
        <v>132</v>
      </c>
    </row>
    <row r="275" spans="1:40" ht="30" customHeight="1">
      <c r="A275" s="162"/>
      <c r="B275" s="17">
        <v>274</v>
      </c>
      <c r="C275" s="89">
        <v>46128</v>
      </c>
      <c r="D275" s="16" t="s">
        <v>1380</v>
      </c>
      <c r="E275" s="16" t="s">
        <v>1381</v>
      </c>
      <c r="F275" s="16" t="s">
        <v>569</v>
      </c>
      <c r="G275" s="16" t="s">
        <v>459</v>
      </c>
      <c r="H275" s="16" t="s">
        <v>1382</v>
      </c>
      <c r="I275" s="16" t="s">
        <v>1383</v>
      </c>
      <c r="J275" s="16" t="s">
        <v>729</v>
      </c>
      <c r="K275" s="34" t="s">
        <v>1384</v>
      </c>
      <c r="L275" s="34" t="s">
        <v>1385</v>
      </c>
      <c r="M275" s="34"/>
      <c r="N275" s="34"/>
      <c r="O275" s="34"/>
      <c r="P275" s="34"/>
      <c r="Q275" s="34"/>
      <c r="R275" s="34"/>
      <c r="S275" s="34"/>
      <c r="U275" s="34"/>
      <c r="V275" s="147" t="s">
        <v>454</v>
      </c>
      <c r="W275" s="135">
        <v>12052</v>
      </c>
      <c r="X275" s="135" t="s">
        <v>67</v>
      </c>
      <c r="Y275" s="34" t="s">
        <v>929</v>
      </c>
      <c r="Z275" s="34"/>
      <c r="AA275" s="34"/>
      <c r="AB275" s="148" t="s">
        <v>210</v>
      </c>
      <c r="AC275" s="144">
        <v>45870</v>
      </c>
      <c r="AD275" s="109">
        <v>46113</v>
      </c>
      <c r="AE275" s="34"/>
      <c r="AF275" s="16">
        <f t="shared" si="12"/>
        <v>243</v>
      </c>
      <c r="AG275" s="16" t="s">
        <v>85</v>
      </c>
      <c r="AH275" s="34">
        <v>19800</v>
      </c>
      <c r="AI275" s="20">
        <f t="shared" si="13"/>
        <v>5800</v>
      </c>
      <c r="AJ275" s="20">
        <f t="shared" si="14"/>
        <v>3262.5</v>
      </c>
      <c r="AK275" s="40">
        <v>9062</v>
      </c>
      <c r="AL275" s="44">
        <v>108782</v>
      </c>
      <c r="AM275" s="34">
        <f t="shared" si="11"/>
        <v>137644</v>
      </c>
      <c r="AN275" s="31" t="s">
        <v>132</v>
      </c>
    </row>
    <row r="276" spans="1:40" ht="30" customHeight="1">
      <c r="A276" s="161">
        <v>46134</v>
      </c>
      <c r="B276" s="17">
        <v>275</v>
      </c>
      <c r="C276" s="89">
        <v>46130</v>
      </c>
      <c r="D276" s="16" t="s">
        <v>1267</v>
      </c>
      <c r="E276" s="16" t="s">
        <v>1268</v>
      </c>
      <c r="F276" s="16" t="s">
        <v>42</v>
      </c>
      <c r="G276" s="16" t="s">
        <v>202</v>
      </c>
      <c r="H276" s="16" t="s">
        <v>1386</v>
      </c>
      <c r="I276" s="16" t="s">
        <v>1387</v>
      </c>
      <c r="J276" s="16" t="s">
        <v>57</v>
      </c>
      <c r="K276" s="34" t="s">
        <v>1388</v>
      </c>
      <c r="L276" s="34" t="s">
        <v>1272</v>
      </c>
      <c r="M276" s="34"/>
      <c r="N276" s="34"/>
      <c r="O276" s="34"/>
      <c r="P276" s="34"/>
      <c r="Q276" s="34"/>
      <c r="R276" s="34"/>
      <c r="S276" s="34"/>
      <c r="U276" s="34"/>
      <c r="V276" s="147" t="s">
        <v>454</v>
      </c>
      <c r="W276" s="135">
        <v>4500</v>
      </c>
      <c r="X276" s="135" t="s">
        <v>79</v>
      </c>
      <c r="Y276" s="34" t="s">
        <v>929</v>
      </c>
      <c r="Z276" s="34"/>
      <c r="AA276" s="34"/>
      <c r="AB276" s="148" t="s">
        <v>210</v>
      </c>
      <c r="AC276" s="144">
        <v>45962</v>
      </c>
      <c r="AD276" s="109">
        <v>46113</v>
      </c>
      <c r="AE276" s="34"/>
      <c r="AF276" s="16">
        <f t="shared" si="12"/>
        <v>151</v>
      </c>
      <c r="AG276" s="16" t="s">
        <v>54</v>
      </c>
      <c r="AH276" s="34">
        <v>9800</v>
      </c>
      <c r="AI276" s="20">
        <f t="shared" si="13"/>
        <v>5800</v>
      </c>
      <c r="AJ276" s="20">
        <f t="shared" si="14"/>
        <v>3262.5</v>
      </c>
      <c r="AK276" s="40">
        <v>9062</v>
      </c>
      <c r="AL276" s="44">
        <v>108782</v>
      </c>
      <c r="AM276" s="34">
        <f t="shared" si="11"/>
        <v>127644</v>
      </c>
      <c r="AN276" s="31" t="s">
        <v>132</v>
      </c>
    </row>
    <row r="277" spans="1:40" ht="30" customHeight="1">
      <c r="A277" s="162"/>
      <c r="B277" s="17">
        <v>276</v>
      </c>
      <c r="C277" s="89">
        <v>46130</v>
      </c>
      <c r="D277" s="16"/>
      <c r="E277" s="16" t="s">
        <v>1389</v>
      </c>
      <c r="F277" s="16" t="s">
        <v>235</v>
      </c>
      <c r="G277" s="16" t="s">
        <v>71</v>
      </c>
      <c r="H277" s="16"/>
      <c r="I277" s="16" t="s">
        <v>1390</v>
      </c>
      <c r="J277" s="16" t="s">
        <v>45</v>
      </c>
      <c r="K277" s="34" t="s">
        <v>1391</v>
      </c>
      <c r="L277" s="34"/>
      <c r="M277" s="34"/>
      <c r="N277" s="34"/>
      <c r="O277" s="34"/>
      <c r="P277" s="34"/>
      <c r="Q277" s="34"/>
      <c r="R277" s="34"/>
      <c r="S277" s="34"/>
      <c r="U277" s="34"/>
      <c r="V277" s="147" t="s">
        <v>1392</v>
      </c>
      <c r="W277" s="135">
        <v>33107</v>
      </c>
      <c r="X277" s="135" t="s">
        <v>844</v>
      </c>
      <c r="Y277" s="34" t="s">
        <v>929</v>
      </c>
      <c r="Z277" s="34"/>
      <c r="AA277" s="34"/>
      <c r="AB277" s="148" t="s">
        <v>131</v>
      </c>
      <c r="AC277" s="144">
        <v>45689</v>
      </c>
      <c r="AD277" s="109">
        <v>46113</v>
      </c>
      <c r="AE277" s="34"/>
      <c r="AF277" s="16">
        <f t="shared" si="12"/>
        <v>424</v>
      </c>
      <c r="AG277" s="16" t="s">
        <v>611</v>
      </c>
      <c r="AH277" s="34">
        <v>80000</v>
      </c>
      <c r="AI277" s="34"/>
      <c r="AJ277" s="34"/>
      <c r="AK277" s="40">
        <v>9045</v>
      </c>
      <c r="AL277" s="34">
        <v>11200</v>
      </c>
      <c r="AM277" s="131">
        <f t="shared" si="11"/>
        <v>100245</v>
      </c>
      <c r="AN277" s="25" t="s">
        <v>55</v>
      </c>
    </row>
    <row r="278" spans="1:40" ht="30" customHeight="1">
      <c r="A278" s="162"/>
      <c r="B278" s="17">
        <v>277</v>
      </c>
      <c r="C278" s="89">
        <v>46132</v>
      </c>
      <c r="D278" s="16" t="s">
        <v>1226</v>
      </c>
      <c r="E278" s="16" t="s">
        <v>1158</v>
      </c>
      <c r="F278" s="16" t="s">
        <v>92</v>
      </c>
      <c r="G278" s="16" t="s">
        <v>459</v>
      </c>
      <c r="H278" s="16" t="s">
        <v>1393</v>
      </c>
      <c r="I278" s="16" t="s">
        <v>1394</v>
      </c>
      <c r="J278" s="16" t="s">
        <v>57</v>
      </c>
      <c r="K278" s="34" t="s">
        <v>1011</v>
      </c>
      <c r="L278" s="34" t="s">
        <v>1229</v>
      </c>
      <c r="M278" s="34"/>
      <c r="N278" s="34"/>
      <c r="O278" s="34"/>
      <c r="P278" s="34"/>
      <c r="Q278" s="34"/>
      <c r="R278" s="34"/>
      <c r="S278" s="34"/>
      <c r="U278" s="34"/>
      <c r="V278" s="147" t="s">
        <v>208</v>
      </c>
      <c r="W278" s="135">
        <v>12528</v>
      </c>
      <c r="X278" s="135" t="s">
        <v>67</v>
      </c>
      <c r="Y278" s="34" t="s">
        <v>929</v>
      </c>
      <c r="Z278" s="34"/>
      <c r="AA278" s="34"/>
      <c r="AB278" s="148" t="s">
        <v>210</v>
      </c>
      <c r="AC278" s="144">
        <v>45870</v>
      </c>
      <c r="AD278" s="109">
        <v>46113</v>
      </c>
      <c r="AE278" s="34"/>
      <c r="AF278" s="16">
        <f t="shared" si="12"/>
        <v>243</v>
      </c>
      <c r="AG278" s="16" t="s">
        <v>85</v>
      </c>
      <c r="AH278" s="34">
        <v>1600</v>
      </c>
      <c r="AI278" s="34"/>
      <c r="AJ278" s="34"/>
      <c r="AK278" s="40">
        <v>9045</v>
      </c>
      <c r="AL278" s="44">
        <v>108782</v>
      </c>
      <c r="AM278" s="34">
        <f t="shared" si="11"/>
        <v>119427</v>
      </c>
      <c r="AN278" s="31" t="s">
        <v>132</v>
      </c>
    </row>
    <row r="279" spans="1:40" ht="30" customHeight="1">
      <c r="A279" s="163"/>
      <c r="B279" s="17">
        <v>278</v>
      </c>
      <c r="C279" s="127">
        <v>46132</v>
      </c>
      <c r="D279" s="115"/>
      <c r="E279" s="115" t="s">
        <v>983</v>
      </c>
      <c r="F279" s="115" t="s">
        <v>235</v>
      </c>
      <c r="G279" s="115" t="s">
        <v>71</v>
      </c>
      <c r="H279" s="115"/>
      <c r="I279" s="115" t="s">
        <v>1395</v>
      </c>
      <c r="J279" s="115" t="s">
        <v>57</v>
      </c>
      <c r="K279" s="43" t="s">
        <v>1396</v>
      </c>
      <c r="L279" s="43"/>
      <c r="M279" s="43"/>
      <c r="N279" s="43"/>
      <c r="O279" s="43"/>
      <c r="P279" s="43"/>
      <c r="Q279" s="43"/>
      <c r="R279" s="43"/>
      <c r="S279" s="43"/>
      <c r="T279" s="43"/>
      <c r="U279" s="43"/>
      <c r="V279" s="151" t="s">
        <v>454</v>
      </c>
      <c r="W279" s="145">
        <v>10412</v>
      </c>
      <c r="X279" s="145" t="s">
        <v>67</v>
      </c>
      <c r="Y279" s="43" t="s">
        <v>929</v>
      </c>
      <c r="Z279" s="43"/>
      <c r="AA279" s="43"/>
      <c r="AB279" s="132" t="s">
        <v>210</v>
      </c>
      <c r="AC279" s="146">
        <v>46023</v>
      </c>
      <c r="AD279" s="121">
        <v>46113</v>
      </c>
      <c r="AE279" s="43"/>
      <c r="AF279" s="115">
        <f t="shared" si="12"/>
        <v>90</v>
      </c>
      <c r="AG279" s="115" t="s">
        <v>101</v>
      </c>
      <c r="AH279" s="43">
        <v>80000</v>
      </c>
      <c r="AI279" s="32">
        <f>8*725</f>
        <v>5800</v>
      </c>
      <c r="AJ279" s="32">
        <f>4.5*725</f>
        <v>3262.5</v>
      </c>
      <c r="AK279" s="71">
        <v>9062</v>
      </c>
      <c r="AL279" s="130">
        <v>108782</v>
      </c>
      <c r="AM279" s="43">
        <f t="shared" si="11"/>
        <v>197844</v>
      </c>
      <c r="AN279" s="31" t="s">
        <v>132</v>
      </c>
    </row>
    <row r="280" spans="1:40" ht="30" customHeight="1">
      <c r="A280" s="161">
        <v>46145</v>
      </c>
      <c r="B280" s="17">
        <v>279</v>
      </c>
      <c r="C280" s="89">
        <v>46142</v>
      </c>
      <c r="D280" s="16"/>
      <c r="E280" s="16" t="s">
        <v>832</v>
      </c>
      <c r="F280" s="16" t="s">
        <v>244</v>
      </c>
      <c r="G280" s="16" t="s">
        <v>71</v>
      </c>
      <c r="H280" s="16"/>
      <c r="I280" s="16" t="s">
        <v>1397</v>
      </c>
      <c r="J280" s="16" t="s">
        <v>57</v>
      </c>
      <c r="K280" s="34" t="s">
        <v>1398</v>
      </c>
      <c r="L280" s="34"/>
      <c r="M280" s="34"/>
      <c r="N280" s="34"/>
      <c r="O280" s="34"/>
      <c r="P280" s="34"/>
      <c r="Q280" s="34"/>
      <c r="R280" s="34"/>
      <c r="S280" s="34"/>
      <c r="U280" s="34"/>
      <c r="V280" s="147" t="s">
        <v>988</v>
      </c>
      <c r="W280" s="135">
        <v>33587</v>
      </c>
      <c r="X280" s="135" t="s">
        <v>844</v>
      </c>
      <c r="Y280" s="34" t="s">
        <v>1339</v>
      </c>
      <c r="Z280" s="34"/>
      <c r="AA280" s="34"/>
      <c r="AB280" s="148" t="s">
        <v>139</v>
      </c>
      <c r="AC280" s="146">
        <v>45748</v>
      </c>
      <c r="AD280" s="109">
        <v>46113</v>
      </c>
      <c r="AE280" s="34"/>
      <c r="AF280" s="16">
        <f t="shared" si="12"/>
        <v>365</v>
      </c>
      <c r="AG280" s="16" t="s">
        <v>611</v>
      </c>
      <c r="AH280" s="43"/>
      <c r="AI280" s="34"/>
      <c r="AJ280" s="34"/>
      <c r="AK280" s="40">
        <v>5945</v>
      </c>
      <c r="AL280" s="44">
        <v>1038640.9600000001</v>
      </c>
      <c r="AM280" s="44">
        <f t="shared" si="11"/>
        <v>1044585.9600000001</v>
      </c>
      <c r="AN280" s="31" t="s">
        <v>132</v>
      </c>
    </row>
    <row r="281" spans="1:40" ht="30" customHeight="1">
      <c r="A281" s="162"/>
      <c r="B281" s="17">
        <v>280</v>
      </c>
      <c r="C281" s="89">
        <v>46137</v>
      </c>
      <c r="D281" s="16"/>
      <c r="E281" s="16" t="s">
        <v>519</v>
      </c>
      <c r="F281" s="16" t="s">
        <v>42</v>
      </c>
      <c r="G281" s="16" t="s">
        <v>71</v>
      </c>
      <c r="H281" s="16"/>
      <c r="I281" s="16" t="s">
        <v>1399</v>
      </c>
      <c r="J281" s="16" t="s">
        <v>45</v>
      </c>
      <c r="K281" s="34" t="s">
        <v>1400</v>
      </c>
      <c r="L281" s="34"/>
      <c r="M281" s="34"/>
      <c r="N281" s="34"/>
      <c r="O281" s="34"/>
      <c r="P281" s="34"/>
      <c r="Q281" s="34"/>
      <c r="R281" s="34"/>
      <c r="S281" s="34"/>
      <c r="U281" s="34"/>
      <c r="V281" s="147"/>
      <c r="W281" s="135">
        <v>4805</v>
      </c>
      <c r="X281" s="135" t="s">
        <v>79</v>
      </c>
      <c r="Y281" s="34"/>
      <c r="Z281" s="34"/>
      <c r="AA281" s="34"/>
      <c r="AB281" s="132" t="s">
        <v>210</v>
      </c>
      <c r="AC281" s="146">
        <v>45658</v>
      </c>
      <c r="AD281" s="121">
        <v>46113</v>
      </c>
      <c r="AE281" s="34"/>
      <c r="AF281" s="115">
        <f t="shared" si="12"/>
        <v>455</v>
      </c>
      <c r="AG281" s="16" t="s">
        <v>611</v>
      </c>
      <c r="AH281" s="43"/>
      <c r="AI281" s="34"/>
      <c r="AJ281" s="34"/>
      <c r="AK281" s="34"/>
      <c r="AL281" s="34"/>
      <c r="AM281" s="34"/>
      <c r="AN281" s="31" t="s">
        <v>132</v>
      </c>
    </row>
    <row r="282" spans="1:40" ht="30" customHeight="1">
      <c r="A282" s="163"/>
      <c r="B282" s="119">
        <v>281</v>
      </c>
      <c r="C282" s="127">
        <v>46140</v>
      </c>
      <c r="D282" s="115"/>
      <c r="E282" s="115" t="s">
        <v>883</v>
      </c>
      <c r="F282" s="115" t="s">
        <v>70</v>
      </c>
      <c r="G282" s="115" t="s">
        <v>202</v>
      </c>
      <c r="H282" s="115"/>
      <c r="I282" s="115" t="s">
        <v>1401</v>
      </c>
      <c r="J282" s="115" t="s">
        <v>57</v>
      </c>
      <c r="K282" s="43" t="s">
        <v>1402</v>
      </c>
      <c r="L282" s="43"/>
      <c r="M282" s="43"/>
      <c r="N282" s="43"/>
      <c r="O282" s="43"/>
      <c r="P282" s="43"/>
      <c r="Q282" s="43"/>
      <c r="R282" s="43"/>
      <c r="S282" s="43"/>
      <c r="T282" s="43"/>
      <c r="U282" s="43"/>
      <c r="V282" s="151" t="s">
        <v>208</v>
      </c>
      <c r="W282" s="145">
        <v>48721</v>
      </c>
      <c r="X282" s="145" t="s">
        <v>1403</v>
      </c>
      <c r="Y282" s="43" t="s">
        <v>929</v>
      </c>
      <c r="Z282" s="43"/>
      <c r="AA282" s="43"/>
      <c r="AB282" s="132" t="s">
        <v>210</v>
      </c>
      <c r="AC282" s="146">
        <v>45689</v>
      </c>
      <c r="AD282" s="121">
        <v>46113</v>
      </c>
      <c r="AE282" s="43"/>
      <c r="AF282" s="115">
        <f t="shared" si="12"/>
        <v>424</v>
      </c>
      <c r="AG282" s="115" t="s">
        <v>611</v>
      </c>
      <c r="AH282" s="43">
        <v>1600</v>
      </c>
      <c r="AI282" s="43"/>
      <c r="AJ282" s="43"/>
      <c r="AK282" s="71">
        <v>9045</v>
      </c>
      <c r="AL282" s="130">
        <v>108782</v>
      </c>
      <c r="AM282" s="43">
        <f t="shared" ref="AM282" si="15">AH282+AK282+AL282</f>
        <v>119427</v>
      </c>
      <c r="AN282" s="31" t="s">
        <v>132</v>
      </c>
    </row>
    <row r="283" spans="1:40" ht="30" customHeight="1">
      <c r="A283" s="161">
        <v>46148</v>
      </c>
      <c r="B283" s="16">
        <v>282</v>
      </c>
      <c r="C283" s="89">
        <v>46147</v>
      </c>
      <c r="D283" s="16" t="s">
        <v>1404</v>
      </c>
      <c r="E283" s="16" t="s">
        <v>1405</v>
      </c>
      <c r="F283" s="16" t="s">
        <v>235</v>
      </c>
      <c r="G283" s="16" t="s">
        <v>71</v>
      </c>
      <c r="H283" s="16"/>
      <c r="I283" s="16" t="s">
        <v>1406</v>
      </c>
      <c r="J283" s="16" t="s">
        <v>1087</v>
      </c>
      <c r="K283" s="34" t="s">
        <v>1407</v>
      </c>
      <c r="L283" s="34" t="s">
        <v>1181</v>
      </c>
      <c r="M283" s="34"/>
      <c r="N283" s="34"/>
      <c r="O283" s="34"/>
      <c r="P283" s="34"/>
      <c r="Q283" s="34"/>
      <c r="R283" s="34"/>
      <c r="S283" s="34"/>
      <c r="U283" s="34"/>
      <c r="V283" s="147" t="s">
        <v>208</v>
      </c>
      <c r="W283" s="135">
        <v>298</v>
      </c>
      <c r="X283" s="135" t="s">
        <v>90</v>
      </c>
      <c r="Y283" s="34" t="s">
        <v>929</v>
      </c>
      <c r="Z283" s="34"/>
      <c r="AA283" s="34"/>
      <c r="AB283" s="148" t="s">
        <v>210</v>
      </c>
      <c r="AC283" s="144">
        <v>46113</v>
      </c>
      <c r="AD283" s="109">
        <v>46143</v>
      </c>
      <c r="AE283" s="34"/>
      <c r="AF283" s="16">
        <f t="shared" si="12"/>
        <v>30</v>
      </c>
      <c r="AG283" s="16" t="s">
        <v>101</v>
      </c>
      <c r="AH283" s="34"/>
      <c r="AI283" s="34"/>
      <c r="AJ283" s="34"/>
      <c r="AK283" s="34"/>
      <c r="AL283" s="34"/>
      <c r="AM283" s="34"/>
      <c r="AN283" s="34"/>
    </row>
    <row r="284" spans="1:40" ht="30" customHeight="1">
      <c r="A284" s="162"/>
      <c r="B284" s="16">
        <v>283</v>
      </c>
      <c r="C284" s="89">
        <v>46146</v>
      </c>
      <c r="D284" s="16"/>
      <c r="E284" s="16" t="s">
        <v>1328</v>
      </c>
      <c r="F284" s="16" t="s">
        <v>1329</v>
      </c>
      <c r="G284" s="16" t="s">
        <v>1050</v>
      </c>
      <c r="H284" s="16"/>
      <c r="I284" s="16" t="s">
        <v>1408</v>
      </c>
      <c r="J284" s="16" t="s">
        <v>45</v>
      </c>
      <c r="K284" s="34" t="s">
        <v>1409</v>
      </c>
      <c r="L284" s="34"/>
      <c r="M284" s="34"/>
      <c r="N284" s="34"/>
      <c r="O284" s="34"/>
      <c r="P284" s="34"/>
      <c r="Q284" s="34"/>
      <c r="R284" s="34"/>
      <c r="S284" s="34"/>
      <c r="U284" s="34"/>
      <c r="V284" s="147" t="s">
        <v>208</v>
      </c>
      <c r="W284" s="135">
        <v>22226</v>
      </c>
      <c r="X284" s="135" t="s">
        <v>708</v>
      </c>
      <c r="Y284" s="34" t="s">
        <v>929</v>
      </c>
      <c r="Z284" s="34"/>
      <c r="AA284" s="34"/>
      <c r="AB284" s="148" t="s">
        <v>210</v>
      </c>
      <c r="AC284" s="144">
        <v>45931</v>
      </c>
      <c r="AD284" s="109">
        <v>46143</v>
      </c>
      <c r="AE284" s="34"/>
      <c r="AF284" s="16">
        <f t="shared" si="12"/>
        <v>212</v>
      </c>
      <c r="AG284" s="16" t="s">
        <v>85</v>
      </c>
      <c r="AH284" s="34"/>
      <c r="AI284" s="34"/>
      <c r="AJ284" s="34"/>
      <c r="AK284" s="34"/>
      <c r="AL284" s="34"/>
      <c r="AM284" s="34"/>
      <c r="AN284" s="34"/>
    </row>
    <row r="285" spans="1:40" ht="30" customHeight="1">
      <c r="A285" s="162"/>
      <c r="B285" s="16">
        <v>284</v>
      </c>
      <c r="C285" s="89">
        <v>46147</v>
      </c>
      <c r="D285" s="16"/>
      <c r="E285" s="16" t="s">
        <v>1410</v>
      </c>
      <c r="F285" s="16" t="s">
        <v>458</v>
      </c>
      <c r="G285" s="16" t="s">
        <v>71</v>
      </c>
      <c r="H285" s="16"/>
      <c r="I285" s="16" t="s">
        <v>1411</v>
      </c>
      <c r="J285" s="152" t="s">
        <v>57</v>
      </c>
      <c r="K285" s="34" t="s">
        <v>1412</v>
      </c>
      <c r="L285" s="34"/>
      <c r="M285" s="34"/>
      <c r="N285" s="34"/>
      <c r="O285" s="34"/>
      <c r="P285" s="34"/>
      <c r="Q285" s="34"/>
      <c r="R285" s="34"/>
      <c r="S285" s="34"/>
      <c r="U285" s="34"/>
      <c r="V285" s="147" t="s">
        <v>1413</v>
      </c>
      <c r="W285" s="135">
        <v>8454</v>
      </c>
      <c r="X285" s="135" t="s">
        <v>50</v>
      </c>
      <c r="Y285" s="34"/>
      <c r="Z285" s="34"/>
      <c r="AA285" s="34"/>
      <c r="AB285" s="148" t="s">
        <v>1414</v>
      </c>
      <c r="AC285" s="144">
        <v>45809</v>
      </c>
      <c r="AD285" s="109">
        <v>46143</v>
      </c>
      <c r="AE285" s="34"/>
      <c r="AF285" s="16">
        <f t="shared" si="12"/>
        <v>334</v>
      </c>
      <c r="AG285" s="16" t="s">
        <v>611</v>
      </c>
      <c r="AH285" s="34"/>
      <c r="AI285" s="34"/>
      <c r="AJ285" s="34"/>
      <c r="AK285" s="34"/>
      <c r="AL285" s="34"/>
      <c r="AM285" s="34"/>
      <c r="AN285" s="34"/>
    </row>
    <row r="286" spans="1:40" ht="30" customHeight="1">
      <c r="A286" s="162"/>
      <c r="B286" s="16">
        <v>285</v>
      </c>
      <c r="C286" s="89">
        <v>46147</v>
      </c>
      <c r="D286" s="89"/>
      <c r="E286" s="16" t="s">
        <v>883</v>
      </c>
      <c r="F286" s="16" t="s">
        <v>70</v>
      </c>
      <c r="G286" s="16" t="s">
        <v>202</v>
      </c>
      <c r="H286" s="16"/>
      <c r="I286" s="16" t="s">
        <v>1415</v>
      </c>
      <c r="J286" s="152" t="s">
        <v>45</v>
      </c>
      <c r="K286" s="34" t="s">
        <v>1416</v>
      </c>
      <c r="L286" s="34"/>
      <c r="M286" s="34"/>
      <c r="N286" s="34"/>
      <c r="O286" s="34"/>
      <c r="P286" s="34"/>
      <c r="Q286" s="34"/>
      <c r="R286" s="34"/>
      <c r="S286" s="34"/>
      <c r="U286" s="34"/>
      <c r="V286" s="147" t="s">
        <v>208</v>
      </c>
      <c r="W286" s="135">
        <v>7888</v>
      </c>
      <c r="X286" s="135" t="s">
        <v>87</v>
      </c>
      <c r="Y286" s="34" t="s">
        <v>929</v>
      </c>
      <c r="Z286" s="34"/>
      <c r="AA286" s="34"/>
      <c r="AB286" s="148" t="s">
        <v>210</v>
      </c>
      <c r="AC286" s="144">
        <v>46023</v>
      </c>
      <c r="AD286" s="109">
        <v>46143</v>
      </c>
      <c r="AE286" s="34"/>
      <c r="AF286" s="16">
        <f t="shared" si="12"/>
        <v>120</v>
      </c>
      <c r="AG286" s="16" t="s">
        <v>54</v>
      </c>
      <c r="AH286" s="34"/>
      <c r="AI286" s="34"/>
      <c r="AJ286" s="34"/>
      <c r="AK286" s="34"/>
      <c r="AL286" s="34"/>
      <c r="AM286" s="34"/>
      <c r="AN286" s="34"/>
    </row>
    <row r="287" spans="1:40" ht="30" customHeight="1">
      <c r="D287" s="18"/>
      <c r="J287" s="153"/>
      <c r="T287" s="20"/>
      <c r="V287" s="154"/>
    </row>
    <row r="288" spans="1:40" ht="30" customHeight="1">
      <c r="D288" s="89"/>
      <c r="J288" s="153"/>
      <c r="V288" s="147"/>
    </row>
    <row r="289" spans="4:22" ht="30" customHeight="1">
      <c r="D289" s="127"/>
      <c r="J289" s="153"/>
      <c r="V289" s="151"/>
    </row>
    <row r="290" spans="4:22" ht="30" customHeight="1">
      <c r="D290" s="89"/>
      <c r="J290" s="153"/>
      <c r="V290" s="147"/>
    </row>
    <row r="291" spans="4:22" ht="30" customHeight="1">
      <c r="D291" s="159"/>
      <c r="V291" s="147"/>
    </row>
  </sheetData>
  <autoFilter ref="A1:AP286" xr:uid="{0D95576D-528D-4E09-8D56-DF23109C87C1}"/>
  <mergeCells count="30">
    <mergeCell ref="A162:A165"/>
    <mergeCell ref="A129:A134"/>
    <mergeCell ref="A135:A138"/>
    <mergeCell ref="A139:A141"/>
    <mergeCell ref="A142:A152"/>
    <mergeCell ref="A153:A155"/>
    <mergeCell ref="A217:A222"/>
    <mergeCell ref="A166:A168"/>
    <mergeCell ref="A169:A186"/>
    <mergeCell ref="A187:A188"/>
    <mergeCell ref="A189:A192"/>
    <mergeCell ref="A194:A195"/>
    <mergeCell ref="A196:A197"/>
    <mergeCell ref="A199:A204"/>
    <mergeCell ref="A205:A207"/>
    <mergeCell ref="A208:A211"/>
    <mergeCell ref="A212:A213"/>
    <mergeCell ref="A215:A216"/>
    <mergeCell ref="A283:A286"/>
    <mergeCell ref="A223:A230"/>
    <mergeCell ref="A231:A244"/>
    <mergeCell ref="A245:A249"/>
    <mergeCell ref="A250:A258"/>
    <mergeCell ref="A259:A262"/>
    <mergeCell ref="A263:A265"/>
    <mergeCell ref="A266:A269"/>
    <mergeCell ref="A270:A271"/>
    <mergeCell ref="A272:A275"/>
    <mergeCell ref="A276:A279"/>
    <mergeCell ref="A280:A282"/>
  </mergeCells>
  <conditionalFormatting sqref="H1:H99">
    <cfRule type="duplicateValues" dxfId="10" priority="8"/>
    <cfRule type="duplicateValues" dxfId="9" priority="9"/>
    <cfRule type="duplicateValues" dxfId="8" priority="10"/>
    <cfRule type="duplicateValues" dxfId="7" priority="11"/>
  </conditionalFormatting>
  <conditionalFormatting sqref="H103:H208">
    <cfRule type="duplicateValues" dxfId="6" priority="1"/>
    <cfRule type="duplicateValues" dxfId="5" priority="2"/>
    <cfRule type="duplicateValues" dxfId="4" priority="3"/>
    <cfRule type="duplicateValues" dxfId="3" priority="4"/>
  </conditionalFormatting>
  <conditionalFormatting sqref="I1:I1048576">
    <cfRule type="duplicateValues" dxfId="2" priority="5"/>
    <cfRule type="duplicateValues" dxfId="1" priority="6"/>
  </conditionalFormatting>
  <conditionalFormatting sqref="I138 I1:I134 I153:I1048576">
    <cfRule type="duplicateValues" dxfId="0" priority="7"/>
  </conditionalFormatting>
  <pageMargins left="0.7" right="0.7" top="0.75" bottom="0.75" header="0.3" footer="0.3"/>
  <pageSetup scale="14" orientation="portrait" r:id="rId1"/>
  <rowBreaks count="1" manualBreakCount="1">
    <brk id="135" max="39" man="1"/>
  </rowBreaks>
  <colBreaks count="1" manualBreakCount="1">
    <brk id="40" max="291" man="1"/>
  </colBreaks>
  <legacyDrawing r:id="rId2"/>
</worksheet>
</file>

<file path=docMetadata/LabelInfo.xml><?xml version="1.0" encoding="utf-8"?>
<clbl:labelList xmlns:clbl="http://schemas.microsoft.com/office/2020/mipLabelMetadata">
  <clbl:label id="{841e42b1-b350-403e-b201-af0f23edfa7a}" enabled="1" method="Privileged" siteId="{8c4858b5-f020-483a-b7ef-71ded6e8176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Main- Sheet</vt:lpstr>
      <vt:lpstr>'Main-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DESHPANDE ADITYA</dc:creator>
  <cp:lastModifiedBy>DESHPANDE ADITYA</cp:lastModifiedBy>
  <dcterms:created xsi:type="dcterms:W3CDTF">2026-05-07T11:19:48Z</dcterms:created>
  <dcterms:modified xsi:type="dcterms:W3CDTF">2026-05-07T11:21:19Z</dcterms:modified>
</cp:coreProperties>
</file>