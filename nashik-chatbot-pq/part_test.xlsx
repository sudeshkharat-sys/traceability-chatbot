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50017162\Codes\Dataeaze\traceability-chatbot\nashik-chatbot-pq\temp_uploads\"/>
    </mc:Choice>
  </mc:AlternateContent>
  <xr:revisionPtr revIDLastSave="0" documentId="8_{84F6E1C8-3C1A-42D0-8FC2-E48DAC6FED1F}" xr6:coauthVersionLast="47" xr6:coauthVersionMax="47" xr10:uidLastSave="{00000000-0000-0000-0000-000000000000}"/>
  <bookViews>
    <workbookView xWindow="-110" yWindow="-110" windowWidth="19420" windowHeight="10300" xr2:uid="{4080C22B-41FD-4AE3-B3D2-1F2D28DBF9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9" i="1" l="1"/>
  <c r="AF18" i="1"/>
  <c r="AF17" i="1"/>
  <c r="AF16" i="1"/>
  <c r="AF15" i="1"/>
  <c r="AF14" i="1"/>
  <c r="AF13" i="1"/>
  <c r="AF12" i="1"/>
  <c r="AF11" i="1"/>
  <c r="AF10" i="1"/>
  <c r="AF9" i="1"/>
  <c r="AF8" i="1"/>
  <c r="AF7" i="1"/>
  <c r="AF6" i="1"/>
  <c r="AF5" i="1"/>
  <c r="AF4" i="1"/>
  <c r="AF3" i="1"/>
  <c r="AF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2"/>
        </ext>
      </extLst>
    </bk>
    <bk>
      <extLst>
        <ext uri="{3e2802c4-a4d2-4d8b-9148-e3be6c30e623}">
          <xlrd:rvb i="24"/>
        </ext>
      </extLst>
    </bk>
    <bk>
      <extLst>
        <ext uri="{3e2802c4-a4d2-4d8b-9148-e3be6c30e623}">
          <xlrd:rvb i="35"/>
        </ext>
      </extLst>
    </bk>
    <bk>
      <extLst>
        <ext uri="{3e2802c4-a4d2-4d8b-9148-e3be6c30e623}">
          <xlrd:rvb i="47"/>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3"/>
        </ext>
      </extLst>
    </bk>
    <bk>
      <extLst>
        <ext uri="{3e2802c4-a4d2-4d8b-9148-e3be6c30e623}">
          <xlrd:rvb i="100"/>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<sst xmlns="http://schemas.openxmlformats.org/spreadsheetml/2006/main" count="333" uniqueCount="103">
  <si>
    <t>Added</t>
  </si>
  <si>
    <t>S.No</t>
  </si>
  <si>
    <t>Report Date</t>
  </si>
  <si>
    <t>Dealer Name and address</t>
  </si>
  <si>
    <t>Location</t>
  </si>
  <si>
    <t>State</t>
  </si>
  <si>
    <t>BRC location</t>
  </si>
  <si>
    <t>TAR No</t>
  </si>
  <si>
    <t>VIN Number</t>
  </si>
  <si>
    <t>Model</t>
  </si>
  <si>
    <t>Problem Description</t>
  </si>
  <si>
    <t>Tekline Name</t>
  </si>
  <si>
    <t>Failure Category (repair/Non repair/Accident/Flooded)</t>
  </si>
  <si>
    <t>RCA</t>
  </si>
  <si>
    <t>Remarks from BRC</t>
  </si>
  <si>
    <t>Warranty/
Insurance</t>
  </si>
  <si>
    <t>Reason of failure</t>
  </si>
  <si>
    <t>Battery/Motor</t>
  </si>
  <si>
    <t>PVT ID</t>
  </si>
  <si>
    <t>PVT S. No</t>
  </si>
  <si>
    <t>Cause-PVT list</t>
  </si>
  <si>
    <t>Remark-2 ( From Quality)</t>
  </si>
  <si>
    <t>Kms</t>
  </si>
  <si>
    <t>KM Range</t>
  </si>
  <si>
    <t>Repaired / Replaced</t>
  </si>
  <si>
    <t>Quality</t>
  </si>
  <si>
    <t>Repair Status</t>
  </si>
  <si>
    <t>Part updated</t>
  </si>
  <si>
    <t>Mfg month</t>
  </si>
  <si>
    <t>Reporting month</t>
  </si>
  <si>
    <t>Retail date</t>
  </si>
  <si>
    <t>No. of Days</t>
  </si>
  <si>
    <t>MIS</t>
  </si>
  <si>
    <t>Transport Cost ( Rs 20X distance from dealer to BRC X2)</t>
  </si>
  <si>
    <t>Dealer Manpower cost ( 8 hour X M cost)</t>
  </si>
  <si>
    <t>BRC repair manpoer cost ( 4.5 X M cost)</t>
  </si>
  <si>
    <t>Labour Cost ( Dealer- Battery remove and Fix) + ( BRC repair)</t>
  </si>
  <si>
    <t>NDP (Cost + 12%)</t>
  </si>
  <si>
    <t>Total Cost</t>
  </si>
  <si>
    <t>Failure mode</t>
  </si>
  <si>
    <t>15.12.2025</t>
  </si>
  <si>
    <t>Dealer end</t>
  </si>
  <si>
    <t>Delhi</t>
  </si>
  <si>
    <t>Dealer</t>
  </si>
  <si>
    <t>S6A85270</t>
  </si>
  <si>
    <t>BE 6 79</t>
  </si>
  <si>
    <t>Warranty</t>
  </si>
  <si>
    <t>Vent Valve</t>
  </si>
  <si>
    <t>HV Battery</t>
  </si>
  <si>
    <t>Vent Valve Replaced ( Water entry through vent valve)</t>
  </si>
  <si>
    <t>8-9K</t>
  </si>
  <si>
    <t>Repaired</t>
  </si>
  <si>
    <t>Yes</t>
  </si>
  <si>
    <t>-</t>
  </si>
  <si>
    <t>6 MIS</t>
  </si>
  <si>
    <t>USV</t>
  </si>
  <si>
    <t>S6C84384</t>
  </si>
  <si>
    <t>XEV 9e 79</t>
  </si>
  <si>
    <t>Haryana</t>
  </si>
  <si>
    <t xml:space="preserve">S6B88131 </t>
  </si>
  <si>
    <t>2-3K</t>
  </si>
  <si>
    <t>Punjab</t>
  </si>
  <si>
    <t>S6C85775</t>
  </si>
  <si>
    <t>S6A85386</t>
  </si>
  <si>
    <t>5-6K</t>
  </si>
  <si>
    <t>Gujrat</t>
  </si>
  <si>
    <t>S6B87969</t>
  </si>
  <si>
    <t>10-15K</t>
  </si>
  <si>
    <t>A. AUTOMOVERS PVT. LTD.</t>
  </si>
  <si>
    <t>CHINHUT</t>
  </si>
  <si>
    <t>Uttar Pradesh</t>
  </si>
  <si>
    <t>MSPT</t>
  </si>
  <si>
    <t>S6B88306</t>
  </si>
  <si>
    <t>SOC SUDDENLY GET DROPPED FROM 15 TO 0 PERCENTAGE SUDDENLY</t>
  </si>
  <si>
    <t xml:space="preserve">Battery failure and replaced with another pack </t>
  </si>
  <si>
    <t>Cell imbalance</t>
  </si>
  <si>
    <t>HV SOC sudden drop</t>
  </si>
  <si>
    <t>SOC drop</t>
  </si>
  <si>
    <t>HV SOC drop</t>
  </si>
  <si>
    <t>4-5K</t>
  </si>
  <si>
    <t>SOC</t>
  </si>
  <si>
    <t>S6B88672</t>
  </si>
  <si>
    <t>BMS Software issue ( Old SW)</t>
  </si>
  <si>
    <t>Old BMS SW version</t>
  </si>
  <si>
    <t>S6B88041</t>
  </si>
  <si>
    <t>9 MIS</t>
  </si>
  <si>
    <t>S6B87576</t>
  </si>
  <si>
    <t>7-8K</t>
  </si>
  <si>
    <t>West Bengal</t>
  </si>
  <si>
    <t>S6A86667</t>
  </si>
  <si>
    <t>0-1K</t>
  </si>
  <si>
    <t>S6B87340</t>
  </si>
  <si>
    <t>Maharashtra</t>
  </si>
  <si>
    <t>S6D89510</t>
  </si>
  <si>
    <t>3-4K</t>
  </si>
  <si>
    <t>S6D89129</t>
  </si>
  <si>
    <t>S6C85020</t>
  </si>
  <si>
    <t>6-7K</t>
  </si>
  <si>
    <t>Rajasthan</t>
  </si>
  <si>
    <t>S6C84884</t>
  </si>
  <si>
    <t>S6E94006</t>
  </si>
  <si>
    <t>3 MIS</t>
  </si>
  <si>
    <t>S6A86056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</si>
</sst>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8"/>
      <color theme="1"/>
      <name val="Aptos Narrow"/>
      <family val="2"/>
      <scheme val="minor"/>
    </font>
    <font>
      <sz val="8"/>
      <color theme="1"/>
      <name val="Aptos Narrow"/>
      <family val="2"/>
      <scheme val="minor"/>
    </font>
  </fonts>
  <fills count="7">
    <fill>
      <patternFill patternType="none"/>
    </fill>
    <fill>
      <patternFill patternType="gray125"/>
    </fill>
    <fill>
      <patternFill patternType="solid">
        <fgColor theme="8"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8" tint="0.79998168889431442"/>
        <bgColor indexed="64"/>
      </patternFill>
    </fill>
  </fills>
  <borders count="5">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5" borderId="2" xfId="0" applyFont="1" applyFill="1" applyBorder="1" applyAlignment="1">
      <alignment horizontal="left" vertical="center" wrapText="1"/>
    </xf>
    <xf numFmtId="17" fontId="2" fillId="2" borderId="2" xfId="0" applyNumberFormat="1" applyFont="1" applyFill="1" applyBorder="1" applyAlignment="1">
      <alignment horizontal="left" vertical="center" wrapText="1"/>
    </xf>
    <xf numFmtId="0" fontId="2" fillId="6" borderId="4" xfId="0" applyFont="1" applyFill="1" applyBorder="1" applyAlignment="1">
      <alignment horizontal="left" vertical="center" wrapText="1"/>
    </xf>
    <xf numFmtId="0" fontId="2" fillId="6" borderId="2"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2" fillId="6" borderId="0" xfId="0" applyFont="1" applyFill="1" applyAlignment="1">
      <alignment horizontal="left"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14" fontId="2"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17" fontId="2" fillId="0" borderId="2" xfId="0" applyNumberFormat="1" applyFont="1" applyBorder="1" applyAlignment="1">
      <alignment horizontal="left" vertical="center" wrapText="1"/>
    </xf>
    <xf numFmtId="15" fontId="2" fillId="0" borderId="4" xfId="0" applyNumberFormat="1" applyFont="1" applyBorder="1" applyAlignment="1">
      <alignment horizontal="left" vertical="center" wrapText="1"/>
    </xf>
    <xf numFmtId="1" fontId="2" fillId="0" borderId="2" xfId="0" applyNumberFormat="1" applyFont="1" applyBorder="1" applyAlignment="1">
      <alignment horizontal="center" vertical="center" wrapText="1"/>
    </xf>
    <xf numFmtId="15" fontId="2" fillId="0" borderId="2" xfId="0" applyNumberFormat="1" applyFont="1" applyBorder="1" applyAlignment="1">
      <alignment horizontal="center" vertical="center" wrapText="1"/>
    </xf>
    <xf numFmtId="0" fontId="2" fillId="0" borderId="0" xfId="0" applyFont="1" applyAlignment="1">
      <alignment horizontal="left" vertical="center" wrapText="1"/>
    </xf>
    <xf numFmtId="3" fontId="2" fillId="0" borderId="2" xfId="0" applyNumberFormat="1" applyFont="1" applyBorder="1" applyAlignment="1">
      <alignment horizontal="left" vertical="center" wrapText="1"/>
    </xf>
    <xf numFmtId="0" fontId="2" fillId="0" borderId="2" xfId="0" quotePrefix="1" applyFont="1" applyBorder="1" applyAlignment="1">
      <alignment horizontal="left" vertical="center" wrapText="1"/>
    </xf>
    <xf numFmtId="15" fontId="2" fillId="0" borderId="4" xfId="0" applyNumberFormat="1" applyFont="1" applyBorder="1" applyAlignment="1">
      <alignment horizontal="left" vertical="center"/>
    </xf>
    <xf numFmtId="0" fontId="2" fillId="0" borderId="2" xfId="0" applyFont="1" applyBorder="1" applyAlignment="1">
      <alignment horizontal="left" vertical="center"/>
    </xf>
    <xf numFmtId="3" fontId="2" fillId="0" borderId="2" xfId="0" applyNumberFormat="1" applyFont="1" applyBorder="1" applyAlignment="1">
      <alignment horizontal="left" vertical="center"/>
    </xf>
    <xf numFmtId="0" fontId="2" fillId="0" borderId="0" xfId="0" applyFont="1" applyAlignment="1">
      <alignment horizontal="left" vertical="center"/>
    </xf>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Ahmedabad" TargetMode="External"/><Relationship Id="rId13" Type="http://schemas.openxmlformats.org/officeDocument/2006/relationships/hyperlink" Target="https://www.bing.com/th?id=OSK.43aaf683d513aa9ed27ac92098a8cf26&amp;qlt=95" TargetMode="External"/><Relationship Id="rId18" Type="http://schemas.openxmlformats.org/officeDocument/2006/relationships/hyperlink" Target="https://www.bing.com/images/search?form=xlimg&amp;q=Nira%20Narsingpur" TargetMode="External"/><Relationship Id="rId3" Type="http://schemas.openxmlformats.org/officeDocument/2006/relationships/hyperlink" Target="https://www.bing.com/th?id=OSK.fa55cbe5f21382b36b2256fb339e5adb&amp;qlt=95" TargetMode="External"/><Relationship Id="rId7" Type="http://schemas.openxmlformats.org/officeDocument/2006/relationships/hyperlink" Target="https://www.bing.com/th?id=OSK.b14e92073be71cac78b9b93f7c710be0&amp;qlt=95" TargetMode="External"/><Relationship Id="rId12" Type="http://schemas.openxmlformats.org/officeDocument/2006/relationships/hyperlink" Target="https://www.bing.com/images/search?form=xlimg&amp;q=Ghaziabad" TargetMode="External"/><Relationship Id="rId17" Type="http://schemas.openxmlformats.org/officeDocument/2006/relationships/hyperlink" Target="https://www.bing.com/th?id=OSK.ffd93e11f4b062ed16f47b5afdf511c5&amp;qlt=95" TargetMode="External"/><Relationship Id="rId2" Type="http://schemas.openxmlformats.org/officeDocument/2006/relationships/hyperlink" Target="https://www.bing.com/images/search?form=xlimg&amp;q=Delhi" TargetMode="External"/><Relationship Id="rId16" Type="http://schemas.openxmlformats.org/officeDocument/2006/relationships/hyperlink" Target="https://www.bing.com/images/search?form=xlimg&amp;q=Faridabad" TargetMode="External"/><Relationship Id="rId20" Type="http://schemas.openxmlformats.org/officeDocument/2006/relationships/hyperlink" Target="https://www.bing.com/images/search?form=xlimg&amp;q=Jaipur" TargetMode="External"/><Relationship Id="rId1" Type="http://schemas.openxmlformats.org/officeDocument/2006/relationships/hyperlink" Target="https://www.bing.com/th?id=OSK.5c95f0d79e07f6c7e3c33a894ab5a87b&amp;qlt=95" TargetMode="External"/><Relationship Id="rId6" Type="http://schemas.openxmlformats.org/officeDocument/2006/relationships/hyperlink" Target="https://www.bing.com/images/search?form=xlimg&amp;q=Rohtak" TargetMode="External"/><Relationship Id="rId11" Type="http://schemas.openxmlformats.org/officeDocument/2006/relationships/hyperlink" Target="https://www.bing.com/th?id=OSK.f31679b5c1649024818754e41371171f&amp;qlt=95" TargetMode="External"/><Relationship Id="rId5" Type="http://schemas.openxmlformats.org/officeDocument/2006/relationships/hyperlink" Target="https://www.bing.com/th?id=OSK.ade9ba4962a907a5d3ffd2f183b08398&amp;qlt=95" TargetMode="External"/><Relationship Id="rId15" Type="http://schemas.openxmlformats.org/officeDocument/2006/relationships/hyperlink" Target="https://www.bing.com/th?id=OSK.5c4808b5a6bc3e4d3812a92cecb304e5&amp;qlt=95" TargetMode="External"/><Relationship Id="rId10" Type="http://schemas.openxmlformats.org/officeDocument/2006/relationships/hyperlink" Target="https://www.bing.com/images/search?form=xlimg&amp;q=Panchkula" TargetMode="External"/><Relationship Id="rId19" Type="http://schemas.openxmlformats.org/officeDocument/2006/relationships/hyperlink" Target="https://www.bing.com/th?id=OSK.4ff411041486da31907b6377cb2a54fd&amp;qlt=95" TargetMode="External"/><Relationship Id="rId4" Type="http://schemas.openxmlformats.org/officeDocument/2006/relationships/hyperlink" Target="https://www.bing.com/images/search?form=xlimg&amp;q=Gurgaon" TargetMode="External"/><Relationship Id="rId9" Type="http://schemas.openxmlformats.org/officeDocument/2006/relationships/hyperlink" Target="https://www.bing.com/th?id=OSK.93b1e822feb619209bd8dc3292296915&amp;qlt=95" TargetMode="External"/><Relationship Id="rId14" Type="http://schemas.openxmlformats.org/officeDocument/2006/relationships/hyperlink" Target="https://www.bing.com/images/search?form=xlimg&amp;q=Kolkata"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Srd>
</file>

<file path=xl/richData/rdarray.xml><?xml version="1.0" encoding="utf-8"?>
<arrayData xmlns="http://schemas.microsoft.com/office/spreadsheetml/2017/richdata2" count="10">
  <a r="2">
    <v t="r">5</v>
    <v t="r">6</v>
  </a>
  <a r="1">
    <v t="s">UTC+05:30</v>
  </a>
  <a r="1">
    <v t="r">18</v>
  </a>
  <a r="1">
    <v t="r">29</v>
  </a>
  <a r="2">
    <v t="r">40</v>
    <v t="r">41</v>
  </a>
  <a r="1">
    <v t="r">53</v>
  </a>
  <a r="1">
    <v t="r">65</v>
  </a>
  <a r="2">
    <v t="r">75</v>
    <v t="r">76</v>
  </a>
  <a r="1">
    <v t="r">87</v>
  </a>
  <a r="2">
    <v t="r">105</v>
    <v t="r">106</v>
  </a>
</arrayData>
</file>

<file path=xl/richData/rdrichvalue.xml><?xml version="1.0" encoding="utf-8"?>
<rvData xmlns="http://schemas.microsoft.com/office/spreadsheetml/2017/richdata" count="112">
  <rv s="0">
    <v>536870912</v>
    <v>Delhi</v>
    <v>275e8ab8-7bd0-4633-9c89-0133be92e587</v>
    <v>en-IN</v>
    <v>Map</v>
  </rv>
  <rv s="1">
    <fb>1484</fb>
    <v>10</v>
  </rv>
  <rv s="0">
    <v>536870912</v>
    <v>New Delhi</v>
    <v>b474d3c7-a39a-d5ba-7426-18e00042f03e</v>
    <v>en-IN</v>
    <v>Map</v>
  </rv>
  <rv s="0">
    <v>536870912</v>
    <v>Sur Empire</v>
    <v>14116fa5-c108-6564-e585-c8cd1d016837</v>
    <v>en-IN</v>
    <v>Map</v>
  </rv>
  <rv s="2">
    <v>0</v>
    <v>8</v>
    <v>0</v>
    <v>7</v>
    <v>0</v>
    <v>Image of Delhi</v>
  </rv>
  <rv s="0">
    <v>805306368</v>
    <v>Vinai Kumar Saxena (Lieutenant governor)</v>
    <v>63e4d87a-b12e-3d7a-686e-620814853d36</v>
    <v>en-IN</v>
    <v>Generic</v>
  </rv>
  <rv s="0">
    <v>805306368</v>
    <v>Arvind Kejriwal (Chief minister)</v>
    <v>406f9300-0c0c-3948-9d26-5c194e968300</v>
    <v>en-IN</v>
    <v>Generic</v>
  </rv>
  <rv s="3">
    <v>0</v>
  </rv>
  <rv s="4">
    <v>https://www.bing.com/search?q=delhi&amp;form=skydnc</v>
    <v>Learn more on Bing</v>
  </rv>
  <rv s="1">
    <fb>9879172</fb>
    <v>10</v>
  </rv>
  <rv s="3">
    <v>1</v>
  </rv>
  <rv s="5">
    <v>#VALUE!</v>
    <v>en-IN</v>
    <v>275e8ab8-7bd0-4633-9c89-0133be92e587</v>
    <v>536870912</v>
    <v>1</v>
    <v>3</v>
    <v>4</v>
    <v>Delhi</v>
    <v>6</v>
    <v>7</v>
    <v>Map</v>
    <v>8</v>
    <v>9</v>
    <v>IN-DL</v>
    <v>1</v>
    <v>2</v>
    <v>3</v>
    <v>Delhi, officially the National Capital Territory of Delhi, is a city and a union territory of India containing New Delhi, the capital of India. Straddling the Yamuna river, but spread chiefly to the west, or beyond its right bank, Delhi shares ...</v>
    <v>4</v>
    <v>2</v>
    <v>7</v>
    <v>8</v>
    <v>Delhi</v>
    <v>9</v>
    <v>10</v>
    <v>Delhi</v>
    <v>mdp/vdpid/10122740</v>
  </rv>
  <rv s="0">
    <v>536870912</v>
    <v>Gurgaon</v>
    <v>0744da87-5b33-132f-8cc6-6bd94376edf9</v>
    <v>en-IN</v>
    <v>Map</v>
  </rv>
  <rv s="0">
    <v>536870912</v>
    <v>Gurgaon district</v>
    <v>9db9768b-6cde-c819-faf1-4911ab303142</v>
    <v>en-IN</v>
    <v>Map</v>
  </rv>
  <rv s="1">
    <fb>738.8</fb>
    <v>10</v>
  </rv>
  <rv s="0">
    <v>536870912</v>
    <v>India</v>
    <v>85fa63d3-9596-adb9-b4eb-502273d84f56</v>
    <v>en-IN</v>
    <v>Map</v>
  </rv>
  <rv s="2">
    <v>1</v>
    <v>8</v>
    <v>12</v>
    <v>7</v>
    <v>0</v>
    <v>Image of Gurgaon</v>
  </rv>
  <rv s="1">
    <fb>28.466666666666999</fb>
    <v>16</v>
  </rv>
  <rv s="0">
    <v>805306368</v>
    <v>Madhu Azad (Mayor)</v>
    <v>5f494c54-8cc0-4d17-4f05-5ca9ebbb4556</v>
    <v>en-IN</v>
    <v>Generic</v>
  </rv>
  <rv s="3">
    <v>2</v>
  </rv>
  <rv s="4">
    <v>https://www.bing.com/search?q=gurgaon&amp;form=skydnc</v>
    <v>Learn more on Bing</v>
  </rv>
  <rv s="1">
    <fb>77.033333333333005</fb>
    <v>16</v>
  </rv>
  <rv s="1">
    <fb>876824</fb>
    <v>10</v>
  </rv>
  <rv s="6">
    <v>#VALUE!</v>
    <v>en-IN</v>
    <v>0744da87-5b33-132f-8cc6-6bd94376edf9</v>
    <v>536870912</v>
    <v>1</v>
    <v>13</v>
    <v>14</v>
    <v>Gurgaon</v>
    <v>6</v>
    <v>7</v>
    <v>Map</v>
    <v>8</v>
    <v>15</v>
    <v>13</v>
    <v>14</v>
    <v>15</v>
    <v>Gurgaon, officially named Gurugram, is a tier-2 satellite city of Delhi and administrative headquarters of Gurgaon district, located in the northern Indian state of Haryana. It is situated near the Delhi–Haryana border, about 30 kilometres ...</v>
    <v>16</v>
    <v>17</v>
    <v>19</v>
    <v>20</v>
    <v>21</v>
    <v>Gurgaon</v>
    <v>22</v>
    <v>10</v>
    <v>Gurgaon</v>
    <v>mdp/vdpid/7408259858589286401</v>
  </rv>
  <rv s="0">
    <v>536870912</v>
    <v>Rohtak</v>
    <v>b343c7e9-b4e3-b38a-0097-1e564978ad08</v>
    <v>en-IN</v>
    <v>Map</v>
  </rv>
  <rv s="0">
    <v>536870912</v>
    <v>Punjab</v>
    <v>d98d08e1-818e-a7ba-30a5-4637a11eec3e</v>
    <v>en-IN</v>
    <v>Map</v>
  </rv>
  <rv s="1">
    <fb>115</fb>
    <v>10</v>
  </rv>
  <rv s="2">
    <v>2</v>
    <v>8</v>
    <v>17</v>
    <v>7</v>
    <v>0</v>
    <v>Image of Rohtak</v>
  </rv>
  <rv s="1">
    <fb>28.9</fb>
    <v>16</v>
  </rv>
  <rv s="0">
    <v>805306368</v>
    <v>Manmohan Goyal (Mayor)</v>
    <v>5773701c-db46-7ee5-07c8-44b19f0aa60f</v>
    <v>en-IN</v>
    <v>Generic</v>
  </rv>
  <rv s="3">
    <v>3</v>
  </rv>
  <rv s="4">
    <v>https://www.bing.com/search?q=rohtak&amp;form=skydnc</v>
    <v>Learn more on Bing</v>
  </rv>
  <rv s="1">
    <fb>76.566666666667004</fb>
    <v>16</v>
  </rv>
  <rv s="1">
    <fb>373133</fb>
    <v>10</v>
  </rv>
  <rv s="7">
    <v>#VALUE!</v>
    <v>en-IN</v>
    <v>b343c7e9-b4e3-b38a-0097-1e564978ad08</v>
    <v>536870912</v>
    <v>1</v>
    <v>18</v>
    <v>19</v>
    <v>Rohtak</v>
    <v>6</v>
    <v>7</v>
    <v>Map</v>
    <v>8</v>
    <v>15</v>
    <v>25</v>
    <v>26</v>
    <v>15</v>
    <v>Rohtak is a city and the administrative headquarters of the Rohtak district in the Indian state of Haryana. It lies 70 kilometres north-west of New Delhi and 250 kilometres south of the state capital Chandigarh on NH 9. Rohtak forms a part of ...</v>
    <v>27</v>
    <v>28</v>
    <v>30</v>
    <v>31</v>
    <v>32</v>
    <v>Rohtak</v>
    <v>33</v>
    <v>10</v>
    <v>Rohtak</v>
    <v>mdp/vdpid/7408173853848895489</v>
  </rv>
  <rv s="0">
    <v>536870912</v>
    <v>Ahmedabad</v>
    <v>f741e2c0-a401-4bcb-2d92-c364fe683513</v>
    <v>en-IN</v>
    <v>Map</v>
  </rv>
  <rv s="0">
    <v>536870912</v>
    <v>Gujarat</v>
    <v>c70b768e-21ab-4f53-a356-564e8da2291e</v>
    <v>en-IN</v>
    <v>Map</v>
  </rv>
  <rv s="1">
    <fb>464.16500000000002</fb>
    <v>10</v>
  </rv>
  <rv s="2">
    <v>3</v>
    <v>8</v>
    <v>20</v>
    <v>7</v>
    <v>0</v>
    <v>Image of Ahmedabad</v>
  </rv>
  <rv s="1">
    <fb>23.021944444444401</fb>
    <v>16</v>
  </rv>
  <rv s="0">
    <v>805306368</v>
    <v>Pratibha Jain (Mayor)</v>
    <v>7cb51764-38d6-a29e-a43d-0df082af754a</v>
    <v>en-IN</v>
    <v>Generic</v>
  </rv>
  <rv s="0">
    <v>805306368</v>
    <v>Jatin Patel (Deputy mayor)</v>
    <v>e59b1bcc-851a-4bdb-e331-88b779cd49dd</v>
    <v>en-IN</v>
    <v>Generic</v>
  </rv>
  <rv s="3">
    <v>4</v>
  </rv>
  <rv s="4">
    <v>https://www.bing.com/search?q=ahmedabad&amp;form=skydnc</v>
    <v>Learn more on Bing</v>
  </rv>
  <rv s="1">
    <fb>72.579722222222202</fb>
    <v>16</v>
  </rv>
  <rv s="1">
    <fb>8854440</fb>
    <v>10</v>
  </rv>
  <rv s="7">
    <v>#VALUE!</v>
    <v>en-IN</v>
    <v>f741e2c0-a401-4bcb-2d92-c364fe683513</v>
    <v>536870912</v>
    <v>1</v>
    <v>21</v>
    <v>19</v>
    <v>Ahmedabad</v>
    <v>6</v>
    <v>7</v>
    <v>Map</v>
    <v>8</v>
    <v>22</v>
    <v>36</v>
    <v>37</v>
    <v>15</v>
    <v>Ahmedabad, also spelled as Amdavad, is the most populous city in the Indian state of Gujarat. It is the administrative headquarters of the Ahmedabad district and the seat of the Gujarat High Court. Ahmedabad's population of 5,570,585 makes it ...</v>
    <v>38</v>
    <v>39</v>
    <v>42</v>
    <v>43</v>
    <v>44</v>
    <v>Ahmedabad</v>
    <v>45</v>
    <v>10</v>
    <v>Ahmedabad</v>
    <v>mdp/vdpid/7410643148977733636</v>
  </rv>
  <rv s="0">
    <v>536870912</v>
    <v>Panchkula</v>
    <v>e79e3eab-6139-837c-4c80-d88c812db3ba</v>
    <v>en-IN</v>
    <v>Map</v>
  </rv>
  <rv s="0">
    <v>536870912</v>
    <v>Haryana</v>
    <v>f50b36c9-0e06-9b0a-b657-100ebb295bb1</v>
    <v>en-IN</v>
    <v>Map</v>
  </rv>
  <rv s="0">
    <v>536870912</v>
    <v>Panchkula district</v>
    <v>b064410d-5822-3bbd-600f-ba8ba842c0ad</v>
    <v>en-IN</v>
    <v>Map</v>
  </rv>
  <rv s="1">
    <fb>898</fb>
    <v>10</v>
  </rv>
  <rv s="2">
    <v>4</v>
    <v>8</v>
    <v>23</v>
    <v>7</v>
    <v>0</v>
    <v>Image of Panchkula</v>
  </rv>
  <rv s="1">
    <fb>30.694444444443999</fb>
    <v>16</v>
  </rv>
  <rv s="0">
    <v>805306368</v>
    <v>Kulbhushan Goyal (Mayor)</v>
    <v>9efd04b8-f342-d1ca-f51e-046328ab58fc</v>
    <v>en-IN</v>
    <v>Generic</v>
  </rv>
  <rv s="3">
    <v>5</v>
  </rv>
  <rv s="4">
    <v>https://www.bing.com/search?q=panchkula&amp;form=skydnc</v>
    <v>Learn more on Bing</v>
  </rv>
  <rv s="1">
    <fb>76.850277777778004</fb>
    <v>16</v>
  </rv>
  <rv s="1">
    <fb>211355</fb>
    <v>10</v>
  </rv>
  <rv s="8">
    <v>#VALUE!</v>
    <v>en-IN</v>
    <v>e79e3eab-6139-837c-4c80-d88c812db3ba</v>
    <v>536870912</v>
    <v>1</v>
    <v>25</v>
    <v>26</v>
    <v>Panchkula</v>
    <v>6</v>
    <v>7</v>
    <v>Map</v>
    <v>8</v>
    <v>15</v>
    <v>48</v>
    <v>49</v>
    <v>50</v>
    <v>15</v>
    <v>Panchkula is a planned city and district headquarter in the Panchkula district in Haryana, India. It is a satellite town of the state capital Chandigarh. Panchkula is a border city with Punjab, Chandigarh and Himachal Pradesh. The origin of the ...</v>
    <v>51</v>
    <v>52</v>
    <v>54</v>
    <v>55</v>
    <v>56</v>
    <v>Panchkula</v>
    <v>57</v>
    <v>Panchkula</v>
    <v>mdp/vdpid/7407900651029528577</v>
  </rv>
  <rv s="0">
    <v>536870912</v>
    <v>Ghaziabad</v>
    <v>e900c390-f771-dfdc-694c-8512f5758707</v>
    <v>en-IN</v>
    <v>Map</v>
  </rv>
  <rv s="0">
    <v>536870912</v>
    <v>Ghaziabad district</v>
    <v>239c012f-3c24-3a25-adab-8cf75e6db8e3</v>
    <v>en-IN</v>
    <v>Map</v>
  </rv>
  <rv s="1">
    <fb>220</fb>
    <v>10</v>
  </rv>
  <rv s="0">
    <v>536870912</v>
    <v>British Raj</v>
    <v>20193abe-79a7-473f-979c-a3cfdac8639a</v>
    <v>en-IN</v>
    <v>Map</v>
  </rv>
  <rv s="2">
    <v>5</v>
    <v>8</v>
    <v>27</v>
    <v>7</v>
    <v>0</v>
    <v>Image of Ghaziabad</v>
  </rv>
  <rv s="1">
    <fb>28.666666666666998</fb>
    <v>16</v>
  </rv>
  <rv s="0">
    <v>805306368</v>
    <v>Sunita Dayal (Mayor)</v>
    <v>67271c23-3efc-d0fb-4abd-c26818c07a9b</v>
    <v>en-IN</v>
    <v>Generic</v>
  </rv>
  <rv s="3">
    <v>6</v>
  </rv>
  <rv s="4">
    <v>https://www.bing.com/search?q=ghaziabad+uttar+pradesh&amp;form=skydnc</v>
    <v>Learn more on Bing</v>
  </rv>
  <rv s="1">
    <fb>77.416666666666998</fb>
    <v>16</v>
  </rv>
  <rv s="1">
    <fb>2375820</fb>
    <v>10</v>
  </rv>
  <rv s="9">
    <v>#VALUE!</v>
    <v>en-IN</v>
    <v>e900c390-f771-dfdc-694c-8512f5758707</v>
    <v>536870912</v>
    <v>1</v>
    <v>28</v>
    <v>29</v>
    <v>Ghaziabad</v>
    <v>6</v>
    <v>7</v>
    <v>Map</v>
    <v>8</v>
    <v>15</v>
    <v>60</v>
    <v>61</v>
    <v>62</v>
    <v>Ghaziabad is a city in the Indian state of Uttar Pradesh and a part of Delhi NCR. It is the administrative headquarters of Ghaziabad district and is the largest city in Western Uttar Pradesh, with a population of 1,729,000. Ghaziabad Municipal ...</v>
    <v>63</v>
    <v>64</v>
    <v>66</v>
    <v>67</v>
    <v>68</v>
    <v>Ghaziabad</v>
    <v>69</v>
    <v>Ghaziabad</v>
    <v>mdp/vdpid/7408352758950002690</v>
  </rv>
  <rv s="0">
    <v>536870912</v>
    <v>Kolkata</v>
    <v>e5f8e89d-f3e0-3a9e-7b62-24348d526819</v>
    <v>en-IN</v>
    <v>Map</v>
  </rv>
  <rv s="1">
    <fb>206.08</fb>
    <v>10</v>
  </rv>
  <rv s="2">
    <v>6</v>
    <v>8</v>
    <v>30</v>
    <v>7</v>
    <v>0</v>
    <v>Image of Kolkata</v>
  </rv>
  <rv s="1">
    <fb>22.572672300000001</fb>
    <v>16</v>
  </rv>
  <rv s="0">
    <v>805306368</v>
    <v>Firhad Hakim (Mayor)</v>
    <v>899268aa-2ac9-4a09-bb3c-8fa5b3ea6848</v>
    <v>en-IN</v>
    <v>Generic</v>
  </rv>
  <rv s="0">
    <v>805306368</v>
    <v>Atin Ghosh (Deputy mayor)</v>
    <v>adf686c6-c7c3-d05a-cbf1-7ef2a186f59b</v>
    <v>en-IN</v>
    <v>Generic</v>
  </rv>
  <rv s="3">
    <v>7</v>
  </rv>
  <rv s="4">
    <v>https://www.bing.com/search?q=kolkata&amp;form=skydnc</v>
    <v>Learn more on Bing</v>
  </rv>
  <rv s="1">
    <fb>88.363881500000005</fb>
    <v>16</v>
  </rv>
  <rv s="1">
    <fb>4496694</fb>
    <v>10</v>
  </rv>
  <rv s="10">
    <v>#VALUE!</v>
    <v>en-IN</v>
    <v>e5f8e89d-f3e0-3a9e-7b62-24348d526819</v>
    <v>536870912</v>
    <v>1</v>
    <v>31</v>
    <v>32</v>
    <v>Kolkata</v>
    <v>6</v>
    <v>7</v>
    <v>Map</v>
    <v>8</v>
    <v>15</v>
    <v>72</v>
    <v>15</v>
    <v>Kolkata is the capital and largest city of the Indian state of West Bengal. It lies on the eastern bank of the Hooghly River, 80 km west of the border with Bangladesh. It is the primary financial and commercial center of eastern and northeastern ...</v>
    <v>73</v>
    <v>74</v>
    <v>77</v>
    <v>78</v>
    <v>79</v>
    <v>Kolkata</v>
    <v>80</v>
    <v>Kolkata</v>
    <v>mdp/vdpid/7421784768603226114</v>
  </rv>
  <rv s="0">
    <v>536870912</v>
    <v>Faridabad</v>
    <v>1a737077-4f72-bfac-324f-43f365e64b96</v>
    <v>en-IN</v>
    <v>Map</v>
  </rv>
  <rv s="0">
    <v>536870912</v>
    <v>Faridabad district</v>
    <v>f3b0bb4f-48d5-ce2b-c5d9-a88e776451a4</v>
    <v>en-IN</v>
    <v>Map</v>
  </rv>
  <rv s="1">
    <fb>742.9</fb>
    <v>10</v>
  </rv>
  <rv s="2">
    <v>7</v>
    <v>8</v>
    <v>33</v>
    <v>7</v>
    <v>0</v>
    <v>Image of Faridabad</v>
  </rv>
  <rv s="1">
    <fb>28.416666666666998</fb>
    <v>16</v>
  </rv>
  <rv s="0">
    <v>805306368</v>
    <v>Suman Bala (Mayor)</v>
    <v>ed49d6d5-ef82-1117-56c9-b20849507c06</v>
    <v>en-IN</v>
    <v>Generic</v>
  </rv>
  <rv s="3">
    <v>8</v>
  </rv>
  <rv s="4">
    <v>https://www.bing.com/search?q=faridabad&amp;form=skydnc</v>
    <v>Learn more on Bing</v>
  </rv>
  <rv s="1">
    <fb>77.3</fb>
    <v>16</v>
  </rv>
  <rv s="1">
    <fb>1414050</fb>
    <v>10</v>
  </rv>
  <rv s="6">
    <v>#VALUE!</v>
    <v>en-IN</v>
    <v>1a737077-4f72-bfac-324f-43f365e64b96</v>
    <v>536870912</v>
    <v>1</v>
    <v>34</v>
    <v>14</v>
    <v>Faridabad</v>
    <v>6</v>
    <v>7</v>
    <v>Map</v>
    <v>8</v>
    <v>15</v>
    <v>83</v>
    <v>84</v>
    <v>15</v>
    <v>Faridabad is the most populous city near NCT of Delhi in the Indian state of Haryana and a part of Delhi National Capital Region. It is one of the major satellite cities around Delhi and is located 284 kilometres south of the state capital, ...</v>
    <v>85</v>
    <v>86</v>
    <v>88</v>
    <v>89</v>
    <v>90</v>
    <v>Faridabad</v>
    <v>91</v>
    <v>10</v>
    <v>Faridabad</v>
    <v>mdp/vdpid/7408368973072302081</v>
  </rv>
  <rv s="0">
    <v>536870912</v>
    <v>Nira Narsingpur</v>
    <v>2ae35de0-c350-44da-87da-707fb41597ae</v>
    <v>en-IN</v>
    <v>Map</v>
  </rv>
  <rv s="0">
    <v>536870912</v>
    <v>Pune district</v>
    <v>2e0769ee-608b-33fd-6c72-91c492a7ca7d</v>
    <v>en-IN</v>
    <v>Map</v>
  </rv>
  <rv s="2">
    <v>8</v>
    <v>8</v>
    <v>35</v>
    <v>7</v>
    <v>0</v>
    <v>Image of Nira Narsingpur</v>
  </rv>
  <rv s="1">
    <fb>17.983499999999999</fb>
    <v>16</v>
  </rv>
  <rv s="4">
    <v>https://www.bing.com/search?q=nira+narsingpur+india&amp;form=skydnc</v>
    <v>Learn more on Bing</v>
  </rv>
  <rv s="1">
    <fb>75.123959999999997</fb>
    <v>16</v>
  </rv>
  <rv s="11">
    <v>#VALUE!</v>
    <v>en-IN</v>
    <v>2ae35de0-c350-44da-87da-707fb41597ae</v>
    <v>536870912</v>
    <v>1</v>
    <v>36</v>
    <v>37</v>
    <v>Nira Narsingpur</v>
    <v>6</v>
    <v>7</v>
    <v>Map</v>
    <v>8</v>
    <v>94</v>
    <v>15</v>
    <v>Nira Narsingpur is a village in Indapur taluka of Pune district, Maharashtra, India. The confluence of rivers Bhima and Nira is behind the Shri Laxmi Narsimha Temple. The temple is situated on Pune side of the Pune-Solapur district border also ...</v>
    <v>95</v>
    <v>96</v>
    <v>97</v>
    <v>98</v>
    <v>Nira Narsingpur</v>
    <v>10</v>
    <v>Nira Narsingpur</v>
    <v>mdp/vdpid/7461777621794160641</v>
  </rv>
  <rv s="0">
    <v>536870912</v>
    <v>Jaipur</v>
    <v>b59bcf7b-bf6a-02ef-d975-bd51247f3fb6</v>
    <v>en-IN</v>
    <v>Map</v>
  </rv>
  <rv s="0">
    <v>536870912</v>
    <v>Jaipur district</v>
    <v>85e663e9-a968-b342-c4e6-fad068a95567</v>
    <v>en-IN</v>
    <v>Map</v>
  </rv>
  <rv s="1">
    <fb>467</fb>
    <v>10</v>
  </rv>
  <rv s="2">
    <v>9</v>
    <v>8</v>
    <v>38</v>
    <v>7</v>
    <v>0</v>
    <v>Image of Jaipur</v>
  </rv>
  <rv s="1">
    <fb>26.916666666666998</fb>
    <v>16</v>
  </rv>
  <rv s="0">
    <v>805306368</v>
    <v>Somya Gurjar (Mayor)</v>
    <v>f97d7c51-57b2-104c-0a5a-c511e272065a</v>
    <v>en-IN</v>
    <v>Generic</v>
  </rv>
  <rv s="0">
    <v>805306368</v>
    <v>Munesh Gurjar (Mayor)</v>
    <v>c39e8dbd-77bf-0ce8-887e-7056e93ec0e2</v>
    <v>en-IN</v>
    <v>Generic</v>
  </rv>
  <rv s="3">
    <v>9</v>
  </rv>
  <rv s="4">
    <v>https://www.bing.com/search?q=jaipur&amp;form=skydnc</v>
    <v>Learn more on Bing</v>
  </rv>
  <rv s="1">
    <fb>75.866666666667001</fb>
    <v>16</v>
  </rv>
  <rv s="1">
    <fb>3073350</fb>
    <v>10</v>
  </rv>
  <rv s="9">
    <v>#VALUE!</v>
    <v>en-IN</v>
    <v>b59bcf7b-bf6a-02ef-d975-bd51247f3fb6</v>
    <v>536870912</v>
    <v>1</v>
    <v>39</v>
    <v>29</v>
    <v>Jaipur</v>
    <v>6</v>
    <v>7</v>
    <v>Map</v>
    <v>8</v>
    <v>15</v>
    <v>101</v>
    <v>102</v>
    <v>15</v>
    <v>Jaipur, formerly known as Jeypore, is the capital and the largest city of the Indian state of Rajasthan. As of 2011, the city has a population of 3.1 million, making it the tenth most populous city in the country. Located 268 km from the ...</v>
    <v>103</v>
    <v>104</v>
    <v>107</v>
    <v>108</v>
    <v>109</v>
    <v>Jaipur</v>
    <v>110</v>
    <v>Jaipur</v>
    <v>mdp/vdpid/7410948392387346433</v>
  </rv>
</rvData>
</file>

<file path=xl/richData/rdrichvaluestructure.xml><?xml version="1.0" encoding="utf-8"?>
<rvStructures xmlns="http://schemas.microsoft.com/office/spreadsheetml/2017/richdata" count="12">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Admin Division 2 (County/district/other)" t="r"/>
    <k n="Country/region" t="r"/>
    <k n="Description" t="s"/>
    <k n="Image" t="r"/>
    <k n="Latitude" t="r"/>
    <k n="LearnMoreOnLink" t="r"/>
    <k n="Longitude" t="r"/>
    <k n="Name" t="s"/>
    <k n="Time zone(s)" t="r"/>
    <k n="UniqueName" t="s"/>
    <k n="VDPID/VSID" t="s"/>
  </s>
</rvStructures>
</file>

<file path=xl/richData/rdsupportingpropertybag.xml><?xml version="1.0" encoding="utf-8"?>
<supportingPropertyBags xmlns="http://schemas.microsoft.com/office/spreadsheetml/2017/richdata2">
  <spbArrays count="7">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2 (County/district/other)</v>
      <v t="s">Country/region</v>
      <v t="s">Latitude</v>
      <v t="s">Longitude</v>
      <v t="s">Time zone(s)</v>
      <v t="s">_Flags</v>
      <v t="s">VDPID/VSID</v>
      <v t="s">UniqueName</v>
      <v t="s">_DisplayString</v>
      <v t="s">LearnMoreOnLink</v>
      <v t="s">Image</v>
      <v t="s">Description</v>
    </a>
  </spbArrays>
  <spbData count="40">
    <spb s="0">
      <v xml:space="preserve">Wikipedia	</v>
      <v xml:space="preserve">CC BY-SA 3.0	</v>
      <v xml:space="preserve">https://en.wikipedia.org/wiki/Delhi	</v>
      <v xml:space="preserve">https://creativecommons.org/licenses/by-sa/3.0	</v>
    </spb>
    <spb s="0">
      <v xml:space="preserve">Wikipedia	</v>
      <v xml:space="preserve">CC-BY-SA	</v>
      <v xml:space="preserve">http://en.wikipedia.org/wiki/Delhi	</v>
      <v xml:space="preserve">http://creativecommons.org/licenses/by-sa/3.0/	</v>
    </spb>
    <spb s="0">
      <v xml:space="preserve">Wikipedia	Weathertrends360	</v>
      <v xml:space="preserve">CC-BY-SA		</v>
      <v xml:space="preserve">http://en.wikipedia.org/wiki/Delhi	https://www.weathertrends360.com/	</v>
      <v xml:space="preserve">http://creativecommons.org/licenses/by-sa/3.0/		</v>
    </spb>
    <spb s="1">
      <v>0</v>
      <v>0</v>
      <v>0</v>
      <v>0</v>
      <v>0</v>
      <v>1</v>
      <v>2</v>
      <v>0</v>
      <v>2</v>
    </spb>
    <spb s="2">
      <v>0</v>
      <v>Name</v>
      <v>LearnMoreOnLink</v>
    </spb>
    <spb s="3">
      <v>0</v>
      <v>0</v>
      <v>0</v>
    </spb>
    <spb s="4">
      <v>5</v>
      <v>5</v>
      <v>5</v>
    </spb>
    <spb s="5">
      <v>1</v>
      <v>2</v>
    </spb>
    <spb s="6">
      <v>https://www.bing.com</v>
      <v>https://www.bing.com/th?id=Ga%5Cbing_yt.png&amp;w=100&amp;h=40&amp;c=0&amp;pid=0.1</v>
      <v>Powered by Bing</v>
    </spb>
    <spb s="7">
      <v>square km</v>
      <v>2019</v>
    </spb>
    <spb s="8">
      <v>3</v>
    </spb>
    <spb s="0">
      <v xml:space="preserve">Wikipedia	</v>
      <v xml:space="preserve">CC-BY-SA	</v>
      <v xml:space="preserve">http://en.wikipedia.org/wiki/Gurgaon	</v>
      <v xml:space="preserve">http://creativecommons.org/licenses/by-sa/3.0/	</v>
    </spb>
    <spb s="0">
      <v xml:space="preserve">Wikipedia	</v>
      <v xml:space="preserve">CC BY-SA 3.0	</v>
      <v xml:space="preserve">https://en.wikipedia.org/wiki/Gurgaon	</v>
      <v xml:space="preserve">https://creativecommons.org/licenses/by-sa/3.0	</v>
    </spb>
    <spb s="9">
      <v>11</v>
      <v>12</v>
      <v>12</v>
      <v>12</v>
      <v>12</v>
      <v>12</v>
      <v>12</v>
      <v>12</v>
      <v>12</v>
    </spb>
    <spb s="2">
      <v>1</v>
      <v>Name</v>
      <v>LearnMoreOnLink</v>
    </spb>
    <spb s="7">
      <v>square km</v>
      <v>2011</v>
    </spb>
    <spb s="8">
      <v>4</v>
    </spb>
    <spb s="0">
      <v xml:space="preserve">Wikipedia	</v>
      <v xml:space="preserve">CC BY-SA 3.0	</v>
      <v xml:space="preserve">https://en.wikipedia.org/wiki/Rohtak	</v>
      <v xml:space="preserve">https://creativecommons.org/licenses/by-sa/3.0	</v>
    </spb>
    <spb s="10">
      <v>17</v>
      <v>17</v>
      <v>17</v>
      <v>17</v>
      <v>17</v>
      <v>17</v>
      <v>17</v>
      <v>17</v>
      <v>17</v>
    </spb>
    <spb s="2">
      <v>2</v>
      <v>Name</v>
      <v>LearnMoreOnLink</v>
    </spb>
    <spb s="0">
      <v xml:space="preserve">Wikipedia	</v>
      <v xml:space="preserve">CC BY-SA 3.0	</v>
      <v xml:space="preserve">https://en.wikipedia.org/wiki/Ahmedabad	</v>
      <v xml:space="preserve">https://creativecommons.org/licenses/by-sa/3.0	</v>
    </spb>
    <spb s="10">
      <v>20</v>
      <v>20</v>
      <v>20</v>
      <v>20</v>
      <v>20</v>
      <v>20</v>
      <v>20</v>
      <v>20</v>
      <v>20</v>
    </spb>
    <spb s="7">
      <v>square km</v>
      <v>2024</v>
    </spb>
    <spb s="0">
      <v xml:space="preserve">Wikipedia	</v>
      <v xml:space="preserve">CC BY-SA 3.0	</v>
      <v xml:space="preserve">https://en.wikipedia.org/wiki/Panchkula	</v>
      <v xml:space="preserve">https://creativecommons.org/licenses/by-sa/3.0	</v>
    </spb>
    <spb s="0">
      <v xml:space="preserve">Wikipedia	</v>
      <v xml:space="preserve">CC-BY-SA	</v>
      <v xml:space="preserve">http://en.wikipedia.org/wiki/Panchkula	</v>
      <v xml:space="preserve">http://creativecommons.org/licenses/by-sa/3.0/	</v>
    </spb>
    <spb s="11">
      <v>23</v>
      <v>23</v>
      <v>23</v>
      <v>23</v>
      <v>24</v>
      <v>23</v>
      <v>23</v>
      <v>23</v>
      <v>23</v>
      <v>23</v>
    </spb>
    <spb s="2">
      <v>3</v>
      <v>Name</v>
      <v>LearnMoreOnLink</v>
    </spb>
    <spb s="0">
      <v xml:space="preserve">Wikipedia	</v>
      <v xml:space="preserve">CC BY-SA 3.0	</v>
      <v xml:space="preserve">https://en.wikipedia.org/wiki/Ghaziabad	</v>
      <v xml:space="preserve">https://creativecommons.org/licenses/by-sa/3.0	</v>
    </spb>
    <spb s="9">
      <v>27</v>
      <v>27</v>
      <v>27</v>
      <v>27</v>
      <v>27</v>
      <v>27</v>
      <v>27</v>
      <v>27</v>
      <v>27</v>
    </spb>
    <spb s="2">
      <v>4</v>
      <v>Name</v>
      <v>LearnMoreOnLink</v>
    </spb>
    <spb s="0">
      <v xml:space="preserve">Wikipedia	</v>
      <v xml:space="preserve">CC BY-SA 3.0	</v>
      <v xml:space="preserve">https://en.wikipedia.org/wiki/Kolkata	</v>
      <v xml:space="preserve">https://creativecommons.org/licenses/by-sa/3.0	</v>
    </spb>
    <spb s="12">
      <v>30</v>
      <v>30</v>
      <v>30</v>
      <v>30</v>
      <v>30</v>
      <v>30</v>
      <v>30</v>
      <v>30</v>
    </spb>
    <spb s="2">
      <v>5</v>
      <v>Name</v>
      <v>LearnMoreOnLink</v>
    </spb>
    <spb s="0">
      <v xml:space="preserve">Wikipedia	</v>
      <v xml:space="preserve">CC BY-SA 3.0	</v>
      <v xml:space="preserve">https://en.wikipedia.org/wiki/Faridabad	</v>
      <v xml:space="preserve">https://creativecommons.org/licenses/by-sa/3.0	</v>
    </spb>
    <spb s="9">
      <v>33</v>
      <v>33</v>
      <v>33</v>
      <v>33</v>
      <v>33</v>
      <v>33</v>
      <v>33</v>
      <v>33</v>
      <v>33</v>
    </spb>
    <spb s="0">
      <v xml:space="preserve">Wikipedia	</v>
      <v xml:space="preserve">CC BY-SA 3.0	</v>
      <v xml:space="preserve">https://en.wikipedia.org/wiki/Nira_Narsingpur	</v>
      <v xml:space="preserve">https://creativecommons.org/licenses/by-sa/3.0	</v>
    </spb>
    <spb s="13">
      <v>35</v>
      <v>35</v>
      <v>35</v>
      <v>35</v>
      <v>35</v>
      <v>35</v>
      <v>35</v>
    </spb>
    <spb s="2">
      <v>6</v>
      <v>Name</v>
      <v>LearnMoreOnLink</v>
    </spb>
    <spb s="0">
      <v xml:space="preserve">Wikipedia	</v>
      <v xml:space="preserve">CC BY-SA 3.0	</v>
      <v xml:space="preserve">https://en.wikipedia.org/wiki/Jaipur	</v>
      <v xml:space="preserve">https://creativecommons.org/licenses/by-sa/3.0	</v>
    </spb>
    <spb s="9">
      <v>38</v>
      <v>38</v>
      <v>38</v>
      <v>38</v>
      <v>38</v>
      <v>38</v>
      <v>38</v>
      <v>38</v>
      <v>38</v>
    </spb>
  </spbData>
</supportingPropertyBags>
</file>

<file path=xl/richData/rdsupportingpropertybagstructure.xml><?xml version="1.0" encoding="utf-8"?>
<spbStructures xmlns="http://schemas.microsoft.com/office/spreadsheetml/2017/richdata2" count="14">
  <s>
    <k n="SourceText" t="s"/>
    <k n="LicenseText" t="s"/>
    <k n="SourceAddress" t="s"/>
    <k n="LicenseAddress" t="s"/>
  </s>
  <s>
    <k n="Area" t="spb"/>
    <k n="Name" t="spb"/>
    <k n="Population" t="spb"/>
    <k n="UniqueName" t="spb"/>
    <k n="Description" t="spb"/>
    <k n="Abbreviation" t="spb"/>
    <k n="Largest city"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2 (County/district/other)" t="spb"/>
  </s>
  <s>
    <k n="Area" t="spb"/>
    <k n="Name" t="spb"/>
    <k n="Latitude" t="spb"/>
    <k n="Longitude" t="spb"/>
    <k n="Population" t="spb"/>
    <k n="UniqueName" t="spb"/>
    <k n="Description" t="spb"/>
    <k n="Country/region" t="spb"/>
    <k n="Admin Division 1 (State/province/other)" t="spb"/>
  </s>
  <s>
    <k n="Area" t="spb"/>
    <k n="Name" t="spb"/>
    <k n="Latitude" t="spb"/>
    <k n="Longitude" t="spb"/>
    <k n="Population" t="spb"/>
    <k n="UniqueName" t="spb"/>
    <k n="Description" t="spb"/>
    <k n="Country/region" t="spb"/>
    <k n="Admin Division 1 (State/province/other)" t="spb"/>
    <k n="Admin Division 2 (County/district/other)" t="spb"/>
  </s>
  <s>
    <k n="Area" t="spb"/>
    <k n="Name" t="spb"/>
    <k n="Latitude" t="spb"/>
    <k n="Longitude" t="spb"/>
    <k n="Population" t="spb"/>
    <k n="UniqueName" t="spb"/>
    <k n="Description" t="spb"/>
    <k n="Country/region" t="spb"/>
  </s>
  <s>
    <k n="Name" t="spb"/>
    <k n="Latitude" t="spb"/>
    <k n="Longitude" t="spb"/>
    <k n="UniqueName" t="spb"/>
    <k n="Description" t="spb"/>
    <k n="Country/region"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D67E1-8D71-488A-B190-BCADE8065E85}">
  <dimension ref="A1:AN19"/>
  <sheetViews>
    <sheetView tabSelected="1" workbookViewId="0">
      <selection activeCell="F3" sqref="F3"/>
    </sheetView>
  </sheetViews>
  <sheetFormatPr defaultRowHeight="14"/>
  <sheetData>
    <row r="1" spans="1:40" s="15" customFormat="1" ht="30" customHeight="1">
      <c r="A1" s="1" t="s">
        <v>0</v>
      </c>
      <c r="B1" s="1" t="s">
        <v>1</v>
      </c>
      <c r="C1" s="2" t="s">
        <v>2</v>
      </c>
      <c r="D1" s="2" t="s">
        <v>3</v>
      </c>
      <c r="E1" s="2" t="s">
        <v>4</v>
      </c>
      <c r="F1" s="2" t="s">
        <v>5</v>
      </c>
      <c r="G1" s="2" t="s">
        <v>6</v>
      </c>
      <c r="H1" s="2" t="s">
        <v>7</v>
      </c>
      <c r="I1" s="2" t="s">
        <v>8</v>
      </c>
      <c r="J1" s="2" t="s">
        <v>9</v>
      </c>
      <c r="K1" s="3" t="s">
        <v>10</v>
      </c>
      <c r="L1" s="3" t="s">
        <v>11</v>
      </c>
      <c r="M1" s="3" t="s">
        <v>12</v>
      </c>
      <c r="N1" s="3" t="s">
        <v>13</v>
      </c>
      <c r="O1" s="3" t="s">
        <v>14</v>
      </c>
      <c r="P1" s="3" t="s">
        <v>15</v>
      </c>
      <c r="Q1" s="3" t="s">
        <v>16</v>
      </c>
      <c r="R1" s="3" t="s">
        <v>17</v>
      </c>
      <c r="S1" s="4" t="s">
        <v>18</v>
      </c>
      <c r="T1" s="5" t="s">
        <v>19</v>
      </c>
      <c r="U1" s="6" t="s">
        <v>20</v>
      </c>
      <c r="V1" s="7" t="s">
        <v>21</v>
      </c>
      <c r="W1" s="8" t="s">
        <v>22</v>
      </c>
      <c r="X1" s="8" t="s">
        <v>23</v>
      </c>
      <c r="Y1" s="8" t="s">
        <v>24</v>
      </c>
      <c r="Z1" s="8" t="s">
        <v>25</v>
      </c>
      <c r="AA1" s="8" t="s">
        <v>26</v>
      </c>
      <c r="AB1" s="9" t="s">
        <v>27</v>
      </c>
      <c r="AC1" s="10" t="s">
        <v>28</v>
      </c>
      <c r="AD1" s="11" t="s">
        <v>29</v>
      </c>
      <c r="AE1" s="12" t="s">
        <v>30</v>
      </c>
      <c r="AF1" s="13" t="s">
        <v>31</v>
      </c>
      <c r="AG1" s="13" t="s">
        <v>32</v>
      </c>
      <c r="AH1" s="14" t="s">
        <v>33</v>
      </c>
      <c r="AI1" s="14" t="s">
        <v>34</v>
      </c>
      <c r="AJ1" s="14" t="s">
        <v>35</v>
      </c>
      <c r="AK1" s="14" t="s">
        <v>36</v>
      </c>
      <c r="AL1" s="14" t="s">
        <v>37</v>
      </c>
      <c r="AM1" s="14" t="s">
        <v>38</v>
      </c>
      <c r="AN1" s="15" t="s">
        <v>39</v>
      </c>
    </row>
    <row r="2" spans="1:40" s="25" customFormat="1" ht="30" customHeight="1">
      <c r="A2" s="16" t="s">
        <v>40</v>
      </c>
      <c r="B2" s="17">
        <v>1</v>
      </c>
      <c r="C2" s="18">
        <v>45809</v>
      </c>
      <c r="D2" s="19" t="s">
        <v>41</v>
      </c>
      <c r="E2" s="19" t="e" vm="1">
        <v>#VALUE!</v>
      </c>
      <c r="F2" s="19" t="s">
        <v>42</v>
      </c>
      <c r="G2" s="19" t="s">
        <v>43</v>
      </c>
      <c r="H2" s="19"/>
      <c r="I2" s="19" t="s">
        <v>44</v>
      </c>
      <c r="J2" s="19" t="s">
        <v>45</v>
      </c>
      <c r="K2" s="20"/>
      <c r="L2" s="20"/>
      <c r="M2" s="20"/>
      <c r="N2" s="20"/>
      <c r="O2" s="20"/>
      <c r="P2" s="20" t="s">
        <v>46</v>
      </c>
      <c r="Q2" s="20" t="s">
        <v>47</v>
      </c>
      <c r="R2" s="20" t="s">
        <v>48</v>
      </c>
      <c r="S2" s="20">
        <v>696</v>
      </c>
      <c r="T2" s="20"/>
      <c r="U2" s="20"/>
      <c r="V2" s="20" t="s">
        <v>49</v>
      </c>
      <c r="W2" s="20">
        <v>8468</v>
      </c>
      <c r="X2" s="20" t="s">
        <v>50</v>
      </c>
      <c r="Y2" s="20" t="s">
        <v>51</v>
      </c>
      <c r="Z2" s="20" t="s">
        <v>52</v>
      </c>
      <c r="AA2" s="20" t="s">
        <v>53</v>
      </c>
      <c r="AB2" s="20" t="s">
        <v>47</v>
      </c>
      <c r="AC2" s="21">
        <v>45684</v>
      </c>
      <c r="AD2" s="21">
        <v>45809</v>
      </c>
      <c r="AE2" s="22">
        <v>45827</v>
      </c>
      <c r="AF2" s="23">
        <f>AD2-AC2</f>
        <v>125</v>
      </c>
      <c r="AG2" s="24" t="s">
        <v>54</v>
      </c>
      <c r="AH2" s="20">
        <v>0</v>
      </c>
      <c r="AI2" s="20"/>
      <c r="AJ2" s="20"/>
      <c r="AK2" s="20">
        <v>8945</v>
      </c>
      <c r="AL2" s="25">
        <v>815</v>
      </c>
      <c r="AM2" s="26">
        <v>9760</v>
      </c>
      <c r="AN2" s="25" t="s">
        <v>55</v>
      </c>
    </row>
    <row r="3" spans="1:40" s="25" customFormat="1" ht="30" customHeight="1">
      <c r="A3" s="16"/>
      <c r="B3" s="17">
        <v>2</v>
      </c>
      <c r="C3" s="18">
        <v>45841</v>
      </c>
      <c r="D3" s="19" t="s">
        <v>41</v>
      </c>
      <c r="E3" s="19" t="e" vm="1">
        <v>#VALUE!</v>
      </c>
      <c r="F3" s="19" t="s">
        <v>42</v>
      </c>
      <c r="G3" s="19" t="s">
        <v>43</v>
      </c>
      <c r="H3" s="19"/>
      <c r="I3" s="19" t="s">
        <v>56</v>
      </c>
      <c r="J3" s="19" t="s">
        <v>57</v>
      </c>
      <c r="K3" s="20"/>
      <c r="L3" s="20"/>
      <c r="M3" s="20"/>
      <c r="N3" s="20"/>
      <c r="O3" s="20"/>
      <c r="P3" s="20" t="s">
        <v>46</v>
      </c>
      <c r="Q3" s="20" t="s">
        <v>47</v>
      </c>
      <c r="R3" s="20" t="s">
        <v>48</v>
      </c>
      <c r="S3" s="20">
        <v>696</v>
      </c>
      <c r="T3" s="20"/>
      <c r="U3" s="20"/>
      <c r="V3" s="20" t="s">
        <v>49</v>
      </c>
      <c r="W3" s="20">
        <v>8686</v>
      </c>
      <c r="X3" s="20" t="s">
        <v>50</v>
      </c>
      <c r="Y3" s="20" t="s">
        <v>51</v>
      </c>
      <c r="Z3" s="20" t="s">
        <v>52</v>
      </c>
      <c r="AA3" s="20" t="s">
        <v>53</v>
      </c>
      <c r="AB3" s="20" t="s">
        <v>47</v>
      </c>
      <c r="AC3" s="21">
        <v>45729</v>
      </c>
      <c r="AD3" s="21">
        <v>45841</v>
      </c>
      <c r="AE3" s="22">
        <v>45754</v>
      </c>
      <c r="AF3" s="23">
        <f t="shared" ref="AF3:AF19" si="0">AD3-AC3</f>
        <v>112</v>
      </c>
      <c r="AG3" s="24" t="s">
        <v>54</v>
      </c>
      <c r="AH3" s="20">
        <v>0</v>
      </c>
      <c r="AI3" s="20"/>
      <c r="AJ3" s="20"/>
      <c r="AK3" s="20">
        <v>8945</v>
      </c>
      <c r="AL3" s="25">
        <v>815</v>
      </c>
      <c r="AM3" s="26">
        <v>9760</v>
      </c>
      <c r="AN3" s="25" t="s">
        <v>55</v>
      </c>
    </row>
    <row r="4" spans="1:40" s="25" customFormat="1" ht="22.5" customHeight="1">
      <c r="A4" s="16"/>
      <c r="B4" s="17">
        <v>3</v>
      </c>
      <c r="C4" s="18">
        <v>45852</v>
      </c>
      <c r="D4" s="19" t="s">
        <v>41</v>
      </c>
      <c r="E4" s="19" t="e" vm="2">
        <v>#VALUE!</v>
      </c>
      <c r="F4" s="19" t="s">
        <v>58</v>
      </c>
      <c r="G4" s="19" t="s">
        <v>43</v>
      </c>
      <c r="H4" s="19"/>
      <c r="I4" s="19" t="s">
        <v>59</v>
      </c>
      <c r="J4" s="19" t="s">
        <v>57</v>
      </c>
      <c r="K4" s="20"/>
      <c r="L4" s="20"/>
      <c r="M4" s="20"/>
      <c r="N4" s="20"/>
      <c r="O4" s="20"/>
      <c r="P4" s="20" t="s">
        <v>46</v>
      </c>
      <c r="Q4" s="20" t="s">
        <v>47</v>
      </c>
      <c r="R4" s="20" t="s">
        <v>48</v>
      </c>
      <c r="S4" s="20">
        <v>696</v>
      </c>
      <c r="T4" s="20"/>
      <c r="U4" s="20"/>
      <c r="V4" s="20" t="s">
        <v>49</v>
      </c>
      <c r="W4" s="20">
        <v>2998</v>
      </c>
      <c r="X4" s="20" t="s">
        <v>60</v>
      </c>
      <c r="Y4" s="20" t="s">
        <v>51</v>
      </c>
      <c r="Z4" s="20" t="s">
        <v>52</v>
      </c>
      <c r="AA4" s="20"/>
      <c r="AB4" s="20" t="s">
        <v>47</v>
      </c>
      <c r="AC4" s="21">
        <v>45689</v>
      </c>
      <c r="AD4" s="21">
        <v>45839</v>
      </c>
      <c r="AE4" s="22" t="s">
        <v>53</v>
      </c>
      <c r="AF4" s="23">
        <f t="shared" si="0"/>
        <v>150</v>
      </c>
      <c r="AG4" s="24" t="s">
        <v>54</v>
      </c>
      <c r="AH4" s="20">
        <v>0</v>
      </c>
      <c r="AI4" s="20"/>
      <c r="AJ4" s="20"/>
      <c r="AK4" s="20">
        <v>8945</v>
      </c>
      <c r="AL4" s="25">
        <v>815</v>
      </c>
      <c r="AM4" s="26">
        <v>9760</v>
      </c>
      <c r="AN4" s="25" t="s">
        <v>55</v>
      </c>
    </row>
    <row r="5" spans="1:40" s="25" customFormat="1" ht="30" customHeight="1">
      <c r="A5" s="16"/>
      <c r="B5" s="17">
        <v>4</v>
      </c>
      <c r="C5" s="18">
        <v>45850</v>
      </c>
      <c r="D5" s="19" t="s">
        <v>41</v>
      </c>
      <c r="E5" s="19" t="e" vm="3">
        <v>#VALUE!</v>
      </c>
      <c r="F5" s="19" t="s">
        <v>61</v>
      </c>
      <c r="G5" s="19" t="s">
        <v>43</v>
      </c>
      <c r="H5" s="19"/>
      <c r="I5" s="19" t="s">
        <v>62</v>
      </c>
      <c r="J5" s="19" t="s">
        <v>57</v>
      </c>
      <c r="K5" s="20"/>
      <c r="L5" s="20"/>
      <c r="M5" s="20"/>
      <c r="N5" s="20"/>
      <c r="O5" s="20"/>
      <c r="P5" s="20" t="s">
        <v>46</v>
      </c>
      <c r="Q5" s="20" t="s">
        <v>47</v>
      </c>
      <c r="R5" s="20" t="s">
        <v>48</v>
      </c>
      <c r="S5" s="20">
        <v>696</v>
      </c>
      <c r="T5" s="20"/>
      <c r="U5" s="20"/>
      <c r="V5" s="20" t="s">
        <v>49</v>
      </c>
      <c r="W5" s="20">
        <v>8782</v>
      </c>
      <c r="X5" s="20" t="s">
        <v>50</v>
      </c>
      <c r="Y5" s="20" t="s">
        <v>51</v>
      </c>
      <c r="Z5" s="20" t="s">
        <v>52</v>
      </c>
      <c r="AA5" s="27" t="s">
        <v>53</v>
      </c>
      <c r="AB5" s="20" t="s">
        <v>47</v>
      </c>
      <c r="AC5" s="21">
        <v>45742</v>
      </c>
      <c r="AD5" s="21">
        <v>45850</v>
      </c>
      <c r="AE5" s="22">
        <v>45776</v>
      </c>
      <c r="AF5" s="23">
        <f t="shared" si="0"/>
        <v>108</v>
      </c>
      <c r="AG5" s="24" t="s">
        <v>54</v>
      </c>
      <c r="AH5" s="20">
        <v>0</v>
      </c>
      <c r="AI5" s="20"/>
      <c r="AJ5" s="20"/>
      <c r="AK5" s="20">
        <v>8945</v>
      </c>
      <c r="AL5" s="25">
        <v>815</v>
      </c>
      <c r="AM5" s="26">
        <v>9760</v>
      </c>
      <c r="AN5" s="25" t="s">
        <v>55</v>
      </c>
    </row>
    <row r="6" spans="1:40" s="25" customFormat="1" ht="30" customHeight="1">
      <c r="A6" s="16"/>
      <c r="B6" s="17">
        <v>5</v>
      </c>
      <c r="C6" s="18">
        <v>45850</v>
      </c>
      <c r="D6" s="19" t="s">
        <v>41</v>
      </c>
      <c r="E6" s="19" t="e" vm="2">
        <v>#VALUE!</v>
      </c>
      <c r="F6" s="19" t="s">
        <v>58</v>
      </c>
      <c r="G6" s="19" t="s">
        <v>43</v>
      </c>
      <c r="H6" s="19"/>
      <c r="I6" s="19" t="s">
        <v>63</v>
      </c>
      <c r="J6" s="19" t="s">
        <v>57</v>
      </c>
      <c r="K6" s="20"/>
      <c r="L6" s="20"/>
      <c r="M6" s="20"/>
      <c r="N6" s="20"/>
      <c r="O6" s="20"/>
      <c r="P6" s="20" t="s">
        <v>46</v>
      </c>
      <c r="Q6" s="20" t="s">
        <v>47</v>
      </c>
      <c r="R6" s="20" t="s">
        <v>48</v>
      </c>
      <c r="S6" s="20">
        <v>696</v>
      </c>
      <c r="T6" s="20"/>
      <c r="U6" s="20"/>
      <c r="V6" s="20" t="s">
        <v>49</v>
      </c>
      <c r="W6" s="20">
        <v>5532</v>
      </c>
      <c r="X6" s="20" t="s">
        <v>64</v>
      </c>
      <c r="Y6" s="20" t="s">
        <v>51</v>
      </c>
      <c r="Z6" s="20" t="s">
        <v>52</v>
      </c>
      <c r="AA6" s="20" t="s">
        <v>53</v>
      </c>
      <c r="AB6" s="20" t="s">
        <v>47</v>
      </c>
      <c r="AC6" s="21">
        <v>45677</v>
      </c>
      <c r="AD6" s="21">
        <v>45850</v>
      </c>
      <c r="AE6" s="22">
        <v>45839</v>
      </c>
      <c r="AF6" s="23">
        <f t="shared" si="0"/>
        <v>173</v>
      </c>
      <c r="AG6" s="24" t="s">
        <v>54</v>
      </c>
      <c r="AH6" s="20">
        <v>0</v>
      </c>
      <c r="AI6" s="20"/>
      <c r="AJ6" s="20"/>
      <c r="AK6" s="20">
        <v>8945</v>
      </c>
      <c r="AL6" s="25">
        <v>815</v>
      </c>
      <c r="AM6" s="26">
        <v>9760</v>
      </c>
      <c r="AN6" s="25" t="s">
        <v>55</v>
      </c>
    </row>
    <row r="7" spans="1:40" s="25" customFormat="1" ht="30" customHeight="1">
      <c r="A7" s="16"/>
      <c r="B7" s="17">
        <v>6</v>
      </c>
      <c r="C7" s="18">
        <v>45850</v>
      </c>
      <c r="D7" s="19" t="s">
        <v>41</v>
      </c>
      <c r="E7" s="19" t="e" vm="4">
        <v>#VALUE!</v>
      </c>
      <c r="F7" s="19" t="s">
        <v>65</v>
      </c>
      <c r="G7" s="19" t="s">
        <v>43</v>
      </c>
      <c r="H7" s="19"/>
      <c r="I7" s="19" t="s">
        <v>66</v>
      </c>
      <c r="J7" s="19" t="s">
        <v>57</v>
      </c>
      <c r="K7" s="20"/>
      <c r="L7" s="20"/>
      <c r="M7" s="20"/>
      <c r="N7" s="20"/>
      <c r="O7" s="20"/>
      <c r="P7" s="20" t="s">
        <v>46</v>
      </c>
      <c r="Q7" s="20" t="s">
        <v>47</v>
      </c>
      <c r="R7" s="20" t="s">
        <v>48</v>
      </c>
      <c r="S7" s="20">
        <v>696</v>
      </c>
      <c r="T7" s="20"/>
      <c r="U7" s="20"/>
      <c r="V7" s="20" t="s">
        <v>49</v>
      </c>
      <c r="W7" s="20">
        <v>12830</v>
      </c>
      <c r="X7" s="20" t="s">
        <v>67</v>
      </c>
      <c r="Y7" s="20" t="s">
        <v>51</v>
      </c>
      <c r="Z7" s="20" t="s">
        <v>52</v>
      </c>
      <c r="AA7" s="20" t="s">
        <v>53</v>
      </c>
      <c r="AB7" s="20" t="s">
        <v>47</v>
      </c>
      <c r="AC7" s="21">
        <v>45702</v>
      </c>
      <c r="AD7" s="21">
        <v>45850</v>
      </c>
      <c r="AE7" s="22">
        <v>45757</v>
      </c>
      <c r="AF7" s="23">
        <f t="shared" si="0"/>
        <v>148</v>
      </c>
      <c r="AG7" s="24" t="s">
        <v>54</v>
      </c>
      <c r="AH7" s="20">
        <v>0</v>
      </c>
      <c r="AI7" s="20"/>
      <c r="AJ7" s="20"/>
      <c r="AK7" s="20">
        <v>8945</v>
      </c>
      <c r="AL7" s="25">
        <v>815</v>
      </c>
      <c r="AM7" s="26">
        <v>9760</v>
      </c>
      <c r="AN7" s="25" t="s">
        <v>55</v>
      </c>
    </row>
    <row r="8" spans="1:40" s="25" customFormat="1" ht="30" customHeight="1">
      <c r="A8" s="16"/>
      <c r="B8" s="17">
        <v>7</v>
      </c>
      <c r="C8" s="18">
        <v>45868</v>
      </c>
      <c r="D8" s="19" t="s">
        <v>68</v>
      </c>
      <c r="E8" s="19" t="s">
        <v>69</v>
      </c>
      <c r="F8" s="19" t="s">
        <v>70</v>
      </c>
      <c r="G8" s="19" t="s">
        <v>71</v>
      </c>
      <c r="H8" s="19"/>
      <c r="I8" s="19" t="s">
        <v>72</v>
      </c>
      <c r="J8" s="19" t="s">
        <v>45</v>
      </c>
      <c r="K8" s="20" t="s">
        <v>73</v>
      </c>
      <c r="L8" s="20"/>
      <c r="M8" s="20" t="s">
        <v>74</v>
      </c>
      <c r="N8" s="20" t="s">
        <v>75</v>
      </c>
      <c r="O8" s="20" t="s">
        <v>76</v>
      </c>
      <c r="P8" s="20" t="s">
        <v>46</v>
      </c>
      <c r="Q8" s="20" t="s">
        <v>77</v>
      </c>
      <c r="R8" s="20" t="s">
        <v>48</v>
      </c>
      <c r="S8" s="20"/>
      <c r="T8" s="20"/>
      <c r="U8" s="20"/>
      <c r="V8" s="20" t="s">
        <v>78</v>
      </c>
      <c r="W8" s="20">
        <v>4523</v>
      </c>
      <c r="X8" s="20" t="s">
        <v>79</v>
      </c>
      <c r="Y8" s="20" t="s">
        <v>51</v>
      </c>
      <c r="Z8" s="20" t="s">
        <v>52</v>
      </c>
      <c r="AA8" s="20"/>
      <c r="AB8" s="20" t="s">
        <v>80</v>
      </c>
      <c r="AC8" s="21">
        <v>45702</v>
      </c>
      <c r="AD8" s="21">
        <v>45850</v>
      </c>
      <c r="AE8" s="22"/>
      <c r="AF8" s="23">
        <f t="shared" si="0"/>
        <v>148</v>
      </c>
      <c r="AG8" s="24" t="s">
        <v>54</v>
      </c>
      <c r="AH8" s="20">
        <v>0</v>
      </c>
      <c r="AI8" s="20"/>
      <c r="AJ8" s="20"/>
      <c r="AK8" s="20">
        <v>8945</v>
      </c>
      <c r="AL8" s="25">
        <v>815</v>
      </c>
      <c r="AM8" s="26">
        <v>9760</v>
      </c>
      <c r="AN8" s="25" t="s">
        <v>55</v>
      </c>
    </row>
    <row r="9" spans="1:40" s="31" customFormat="1" ht="30" customHeight="1">
      <c r="A9" s="16"/>
      <c r="B9" s="17">
        <v>8</v>
      </c>
      <c r="C9" s="18">
        <v>45875</v>
      </c>
      <c r="D9" s="19" t="s">
        <v>41</v>
      </c>
      <c r="E9" s="19" t="e" vm="5">
        <v>#VALUE!</v>
      </c>
      <c r="F9" s="19" t="s">
        <v>58</v>
      </c>
      <c r="G9" s="19" t="s">
        <v>43</v>
      </c>
      <c r="H9" s="19"/>
      <c r="I9" s="19" t="s">
        <v>81</v>
      </c>
      <c r="J9" s="19" t="s">
        <v>57</v>
      </c>
      <c r="K9" s="20"/>
      <c r="L9" s="20"/>
      <c r="M9" s="20"/>
      <c r="N9" s="20"/>
      <c r="O9" s="20"/>
      <c r="P9" s="20" t="s">
        <v>46</v>
      </c>
      <c r="Q9" s="20" t="s">
        <v>82</v>
      </c>
      <c r="R9" s="20" t="s">
        <v>48</v>
      </c>
      <c r="S9" s="20">
        <v>708</v>
      </c>
      <c r="T9" s="20"/>
      <c r="U9" s="20"/>
      <c r="V9" s="20" t="s">
        <v>83</v>
      </c>
      <c r="W9" s="20">
        <v>8203</v>
      </c>
      <c r="X9" s="20" t="s">
        <v>50</v>
      </c>
      <c r="Y9" s="20" t="s">
        <v>51</v>
      </c>
      <c r="Z9" s="20" t="s">
        <v>52</v>
      </c>
      <c r="AA9" s="20" t="s">
        <v>53</v>
      </c>
      <c r="AB9" s="20" t="s">
        <v>80</v>
      </c>
      <c r="AC9" s="21">
        <v>45707</v>
      </c>
      <c r="AD9" s="21">
        <v>45875</v>
      </c>
      <c r="AE9" s="28">
        <v>45740</v>
      </c>
      <c r="AF9" s="23">
        <f t="shared" si="0"/>
        <v>168</v>
      </c>
      <c r="AG9" s="24" t="s">
        <v>54</v>
      </c>
      <c r="AH9" s="20">
        <v>0</v>
      </c>
      <c r="AI9" s="20"/>
      <c r="AJ9" s="20"/>
      <c r="AK9" s="29">
        <v>8945</v>
      </c>
      <c r="AL9" s="25">
        <v>815</v>
      </c>
      <c r="AM9" s="30">
        <v>9760</v>
      </c>
      <c r="AN9" s="25" t="s">
        <v>55</v>
      </c>
    </row>
    <row r="10" spans="1:40" s="25" customFormat="1" ht="30" customHeight="1">
      <c r="A10" s="16"/>
      <c r="B10" s="17">
        <v>9</v>
      </c>
      <c r="C10" s="18">
        <v>45887</v>
      </c>
      <c r="D10" s="19" t="s">
        <v>41</v>
      </c>
      <c r="E10" s="19" t="e" vm="4">
        <v>#VALUE!</v>
      </c>
      <c r="F10" s="19" t="s">
        <v>65</v>
      </c>
      <c r="G10" s="19" t="s">
        <v>43</v>
      </c>
      <c r="H10" s="19"/>
      <c r="I10" s="19" t="s">
        <v>84</v>
      </c>
      <c r="J10" s="19" t="s">
        <v>57</v>
      </c>
      <c r="K10" s="20"/>
      <c r="L10" s="20"/>
      <c r="M10" s="20"/>
      <c r="N10" s="20"/>
      <c r="O10" s="20"/>
      <c r="P10" s="20" t="s">
        <v>46</v>
      </c>
      <c r="Q10" s="20" t="s">
        <v>47</v>
      </c>
      <c r="R10" s="20" t="s">
        <v>48</v>
      </c>
      <c r="S10" s="20">
        <v>696</v>
      </c>
      <c r="T10" s="20"/>
      <c r="U10" s="20"/>
      <c r="V10" s="20" t="s">
        <v>49</v>
      </c>
      <c r="W10" s="20">
        <v>4592</v>
      </c>
      <c r="X10" s="20" t="s">
        <v>79</v>
      </c>
      <c r="Y10" s="20" t="s">
        <v>51</v>
      </c>
      <c r="Z10" s="20" t="s">
        <v>52</v>
      </c>
      <c r="AA10" s="20" t="s">
        <v>53</v>
      </c>
      <c r="AB10" s="20" t="s">
        <v>47</v>
      </c>
      <c r="AC10" s="21">
        <v>45701</v>
      </c>
      <c r="AD10" s="21">
        <v>45887</v>
      </c>
      <c r="AE10" s="22">
        <v>45769</v>
      </c>
      <c r="AF10" s="23">
        <f t="shared" si="0"/>
        <v>186</v>
      </c>
      <c r="AG10" s="24" t="s">
        <v>85</v>
      </c>
      <c r="AH10" s="20">
        <v>0</v>
      </c>
      <c r="AI10" s="20"/>
      <c r="AJ10" s="20"/>
      <c r="AK10" s="20">
        <v>8945</v>
      </c>
      <c r="AL10" s="25">
        <v>815</v>
      </c>
      <c r="AM10" s="26">
        <v>9760</v>
      </c>
      <c r="AN10" s="25" t="s">
        <v>55</v>
      </c>
    </row>
    <row r="11" spans="1:40" s="25" customFormat="1" ht="30" customHeight="1">
      <c r="A11" s="16"/>
      <c r="B11" s="17">
        <v>10</v>
      </c>
      <c r="C11" s="18">
        <v>45887</v>
      </c>
      <c r="D11" s="19" t="s">
        <v>41</v>
      </c>
      <c r="E11" s="19" t="e" vm="6">
        <v>#VALUE!</v>
      </c>
      <c r="F11" s="19" t="s">
        <v>70</v>
      </c>
      <c r="G11" s="19" t="s">
        <v>43</v>
      </c>
      <c r="H11" s="19"/>
      <c r="I11" s="19" t="s">
        <v>86</v>
      </c>
      <c r="J11" s="19" t="s">
        <v>57</v>
      </c>
      <c r="K11" s="20"/>
      <c r="L11" s="20"/>
      <c r="M11" s="20"/>
      <c r="N11" s="20"/>
      <c r="O11" s="20"/>
      <c r="P11" s="20" t="s">
        <v>46</v>
      </c>
      <c r="Q11" s="20" t="s">
        <v>47</v>
      </c>
      <c r="R11" s="20" t="s">
        <v>48</v>
      </c>
      <c r="S11" s="20">
        <v>696</v>
      </c>
      <c r="T11" s="20"/>
      <c r="U11" s="20"/>
      <c r="V11" s="20" t="s">
        <v>49</v>
      </c>
      <c r="W11" s="20">
        <v>7165</v>
      </c>
      <c r="X11" s="20" t="s">
        <v>87</v>
      </c>
      <c r="Y11" s="20" t="s">
        <v>51</v>
      </c>
      <c r="Z11" s="20" t="s">
        <v>52</v>
      </c>
      <c r="AA11" s="20" t="s">
        <v>53</v>
      </c>
      <c r="AB11" s="20" t="s">
        <v>47</v>
      </c>
      <c r="AC11" s="21">
        <v>45699</v>
      </c>
      <c r="AD11" s="21">
        <v>45887</v>
      </c>
      <c r="AE11" s="22">
        <v>45749</v>
      </c>
      <c r="AF11" s="23">
        <f t="shared" si="0"/>
        <v>188</v>
      </c>
      <c r="AG11" s="24" t="s">
        <v>85</v>
      </c>
      <c r="AH11" s="20">
        <v>0</v>
      </c>
      <c r="AI11" s="20"/>
      <c r="AJ11" s="20"/>
      <c r="AK11" s="20">
        <v>8945</v>
      </c>
      <c r="AL11" s="25">
        <v>815</v>
      </c>
      <c r="AM11" s="26">
        <v>9760</v>
      </c>
      <c r="AN11" s="25" t="s">
        <v>55</v>
      </c>
    </row>
    <row r="12" spans="1:40" s="25" customFormat="1" ht="30" customHeight="1">
      <c r="A12" s="16"/>
      <c r="B12" s="17">
        <v>11</v>
      </c>
      <c r="C12" s="18">
        <v>45882</v>
      </c>
      <c r="D12" s="19" t="s">
        <v>41</v>
      </c>
      <c r="E12" s="19" t="e" vm="7">
        <v>#VALUE!</v>
      </c>
      <c r="F12" s="19" t="s">
        <v>88</v>
      </c>
      <c r="G12" s="19" t="s">
        <v>43</v>
      </c>
      <c r="H12" s="19"/>
      <c r="I12" s="19" t="s">
        <v>89</v>
      </c>
      <c r="J12" s="19" t="s">
        <v>57</v>
      </c>
      <c r="K12" s="20"/>
      <c r="L12" s="20"/>
      <c r="M12" s="20"/>
      <c r="N12" s="20"/>
      <c r="O12" s="20"/>
      <c r="P12" s="20" t="s">
        <v>46</v>
      </c>
      <c r="Q12" s="20" t="s">
        <v>47</v>
      </c>
      <c r="R12" s="20" t="s">
        <v>48</v>
      </c>
      <c r="S12" s="20">
        <v>696</v>
      </c>
      <c r="T12" s="20"/>
      <c r="U12" s="20"/>
      <c r="V12" s="20" t="s">
        <v>49</v>
      </c>
      <c r="W12" s="20">
        <v>797</v>
      </c>
      <c r="X12" s="20" t="s">
        <v>90</v>
      </c>
      <c r="Y12" s="20" t="s">
        <v>51</v>
      </c>
      <c r="Z12" s="20" t="s">
        <v>52</v>
      </c>
      <c r="AA12" s="20" t="s">
        <v>53</v>
      </c>
      <c r="AB12" s="20" t="s">
        <v>47</v>
      </c>
      <c r="AC12" s="21">
        <v>45691</v>
      </c>
      <c r="AD12" s="21">
        <v>45882</v>
      </c>
      <c r="AE12" s="22">
        <v>45848</v>
      </c>
      <c r="AF12" s="23">
        <f t="shared" si="0"/>
        <v>191</v>
      </c>
      <c r="AG12" s="24" t="s">
        <v>85</v>
      </c>
      <c r="AH12" s="20">
        <v>0</v>
      </c>
      <c r="AI12" s="20"/>
      <c r="AJ12" s="20"/>
      <c r="AK12" s="20">
        <v>8945</v>
      </c>
      <c r="AL12" s="25">
        <v>815</v>
      </c>
      <c r="AM12" s="26">
        <v>9760</v>
      </c>
      <c r="AN12" s="25" t="s">
        <v>55</v>
      </c>
    </row>
    <row r="13" spans="1:40" s="25" customFormat="1" ht="30" customHeight="1">
      <c r="A13" s="16"/>
      <c r="B13" s="17">
        <v>12</v>
      </c>
      <c r="C13" s="18">
        <v>45880</v>
      </c>
      <c r="D13" s="19" t="s">
        <v>41</v>
      </c>
      <c r="E13" s="19" t="e" vm="8">
        <v>#VALUE!</v>
      </c>
      <c r="F13" s="19" t="s">
        <v>58</v>
      </c>
      <c r="G13" s="19" t="s">
        <v>43</v>
      </c>
      <c r="H13" s="19"/>
      <c r="I13" s="19" t="s">
        <v>91</v>
      </c>
      <c r="J13" s="19" t="s">
        <v>57</v>
      </c>
      <c r="K13" s="20"/>
      <c r="L13" s="20"/>
      <c r="M13" s="20"/>
      <c r="N13" s="20"/>
      <c r="O13" s="20"/>
      <c r="P13" s="20" t="s">
        <v>46</v>
      </c>
      <c r="Q13" s="20" t="s">
        <v>47</v>
      </c>
      <c r="R13" s="20" t="s">
        <v>48</v>
      </c>
      <c r="S13" s="20">
        <v>696</v>
      </c>
      <c r="T13" s="20"/>
      <c r="U13" s="20"/>
      <c r="V13" s="20" t="s">
        <v>49</v>
      </c>
      <c r="W13" s="20">
        <v>13896</v>
      </c>
      <c r="X13" s="20" t="s">
        <v>67</v>
      </c>
      <c r="Y13" s="20" t="s">
        <v>51</v>
      </c>
      <c r="Z13" s="20" t="s">
        <v>52</v>
      </c>
      <c r="AA13" s="20" t="s">
        <v>53</v>
      </c>
      <c r="AB13" s="20" t="s">
        <v>47</v>
      </c>
      <c r="AC13" s="21">
        <v>45695</v>
      </c>
      <c r="AD13" s="21">
        <v>45880</v>
      </c>
      <c r="AE13" s="22">
        <v>45743</v>
      </c>
      <c r="AF13" s="23">
        <f t="shared" si="0"/>
        <v>185</v>
      </c>
      <c r="AG13" s="24" t="s">
        <v>85</v>
      </c>
      <c r="AH13" s="20">
        <v>0</v>
      </c>
      <c r="AI13" s="20"/>
      <c r="AJ13" s="20"/>
      <c r="AK13" s="20">
        <v>8945</v>
      </c>
      <c r="AL13" s="25">
        <v>815</v>
      </c>
      <c r="AM13" s="26">
        <v>9760</v>
      </c>
      <c r="AN13" s="25" t="s">
        <v>55</v>
      </c>
    </row>
    <row r="14" spans="1:40" s="25" customFormat="1" ht="30" customHeight="1">
      <c r="A14" s="16"/>
      <c r="B14" s="17">
        <v>13</v>
      </c>
      <c r="C14" s="18">
        <v>45877</v>
      </c>
      <c r="D14" s="19" t="s">
        <v>41</v>
      </c>
      <c r="E14" s="19" t="e" vm="9">
        <v>#VALUE!</v>
      </c>
      <c r="F14" s="19" t="s">
        <v>92</v>
      </c>
      <c r="G14" s="19" t="s">
        <v>43</v>
      </c>
      <c r="H14" s="19"/>
      <c r="I14" s="19" t="s">
        <v>93</v>
      </c>
      <c r="J14" s="19" t="s">
        <v>57</v>
      </c>
      <c r="K14" s="20"/>
      <c r="L14" s="20"/>
      <c r="M14" s="20"/>
      <c r="N14" s="20"/>
      <c r="O14" s="20"/>
      <c r="P14" s="20" t="s">
        <v>46</v>
      </c>
      <c r="Q14" s="20" t="s">
        <v>47</v>
      </c>
      <c r="R14" s="20" t="s">
        <v>48</v>
      </c>
      <c r="S14" s="20">
        <v>696</v>
      </c>
      <c r="T14" s="20"/>
      <c r="U14" s="20"/>
      <c r="V14" s="20" t="s">
        <v>49</v>
      </c>
      <c r="W14" s="20">
        <v>3035</v>
      </c>
      <c r="X14" s="20" t="s">
        <v>94</v>
      </c>
      <c r="Y14" s="20" t="s">
        <v>51</v>
      </c>
      <c r="Z14" s="20" t="s">
        <v>52</v>
      </c>
      <c r="AA14" s="20" t="s">
        <v>53</v>
      </c>
      <c r="AB14" s="20" t="s">
        <v>47</v>
      </c>
      <c r="AC14" s="21">
        <v>45775</v>
      </c>
      <c r="AD14" s="21">
        <v>45877</v>
      </c>
      <c r="AE14" s="22">
        <v>45792</v>
      </c>
      <c r="AF14" s="23">
        <f t="shared" si="0"/>
        <v>102</v>
      </c>
      <c r="AG14" s="24" t="s">
        <v>54</v>
      </c>
      <c r="AH14" s="20">
        <v>0</v>
      </c>
      <c r="AI14" s="20"/>
      <c r="AJ14" s="20"/>
      <c r="AK14" s="20">
        <v>8945</v>
      </c>
      <c r="AL14" s="25">
        <v>815</v>
      </c>
      <c r="AM14" s="26">
        <v>9760</v>
      </c>
      <c r="AN14" s="25" t="s">
        <v>55</v>
      </c>
    </row>
    <row r="15" spans="1:40" s="25" customFormat="1" ht="30" customHeight="1">
      <c r="A15" s="16"/>
      <c r="B15" s="17">
        <v>14</v>
      </c>
      <c r="C15" s="18">
        <v>45873</v>
      </c>
      <c r="D15" s="19" t="s">
        <v>41</v>
      </c>
      <c r="E15" s="19" t="e" vm="1">
        <v>#VALUE!</v>
      </c>
      <c r="F15" s="19" t="s">
        <v>42</v>
      </c>
      <c r="G15" s="19" t="s">
        <v>43</v>
      </c>
      <c r="H15" s="19"/>
      <c r="I15" s="19" t="s">
        <v>95</v>
      </c>
      <c r="J15" s="19" t="s">
        <v>57</v>
      </c>
      <c r="K15" s="20"/>
      <c r="L15" s="20"/>
      <c r="M15" s="20"/>
      <c r="N15" s="20"/>
      <c r="O15" s="20"/>
      <c r="P15" s="20" t="s">
        <v>46</v>
      </c>
      <c r="Q15" s="20" t="s">
        <v>47</v>
      </c>
      <c r="R15" s="20" t="s">
        <v>48</v>
      </c>
      <c r="S15" s="20">
        <v>696</v>
      </c>
      <c r="T15" s="20"/>
      <c r="U15" s="20"/>
      <c r="V15" s="20" t="s">
        <v>49</v>
      </c>
      <c r="W15" s="20">
        <v>2031</v>
      </c>
      <c r="X15" s="20" t="s">
        <v>60</v>
      </c>
      <c r="Y15" s="20" t="s">
        <v>51</v>
      </c>
      <c r="Z15" s="20" t="s">
        <v>52</v>
      </c>
      <c r="AA15" s="20" t="s">
        <v>53</v>
      </c>
      <c r="AB15" s="20" t="s">
        <v>47</v>
      </c>
      <c r="AC15" s="21">
        <v>45772</v>
      </c>
      <c r="AD15" s="21">
        <v>45873</v>
      </c>
      <c r="AE15" s="22">
        <v>45820</v>
      </c>
      <c r="AF15" s="23">
        <f t="shared" si="0"/>
        <v>101</v>
      </c>
      <c r="AG15" s="24" t="s">
        <v>54</v>
      </c>
      <c r="AH15" s="20">
        <v>0</v>
      </c>
      <c r="AI15" s="20"/>
      <c r="AJ15" s="20"/>
      <c r="AK15" s="20">
        <v>8945</v>
      </c>
      <c r="AL15" s="25">
        <v>815</v>
      </c>
      <c r="AM15" s="26">
        <v>9760</v>
      </c>
      <c r="AN15" s="25" t="s">
        <v>55</v>
      </c>
    </row>
    <row r="16" spans="1:40" s="25" customFormat="1" ht="30" customHeight="1">
      <c r="A16" s="16"/>
      <c r="B16" s="17">
        <v>15</v>
      </c>
      <c r="C16" s="18">
        <v>45873</v>
      </c>
      <c r="D16" s="19" t="s">
        <v>41</v>
      </c>
      <c r="E16" s="19" t="e" vm="2">
        <v>#VALUE!</v>
      </c>
      <c r="F16" s="19" t="s">
        <v>58</v>
      </c>
      <c r="G16" s="19" t="s">
        <v>43</v>
      </c>
      <c r="H16" s="19"/>
      <c r="I16" s="19" t="s">
        <v>96</v>
      </c>
      <c r="J16" s="19" t="s">
        <v>45</v>
      </c>
      <c r="K16" s="20"/>
      <c r="L16" s="20"/>
      <c r="M16" s="20"/>
      <c r="N16" s="20"/>
      <c r="O16" s="20"/>
      <c r="P16" s="20" t="s">
        <v>46</v>
      </c>
      <c r="Q16" s="20" t="s">
        <v>47</v>
      </c>
      <c r="R16" s="20" t="s">
        <v>48</v>
      </c>
      <c r="S16" s="20">
        <v>696</v>
      </c>
      <c r="T16" s="20"/>
      <c r="U16" s="20"/>
      <c r="V16" s="20" t="s">
        <v>49</v>
      </c>
      <c r="W16" s="20">
        <v>6094</v>
      </c>
      <c r="X16" s="20" t="s">
        <v>97</v>
      </c>
      <c r="Y16" s="20" t="s">
        <v>51</v>
      </c>
      <c r="Z16" s="20" t="s">
        <v>52</v>
      </c>
      <c r="AA16" s="20" t="s">
        <v>53</v>
      </c>
      <c r="AB16" s="20" t="s">
        <v>47</v>
      </c>
      <c r="AC16" s="21">
        <v>45735</v>
      </c>
      <c r="AD16" s="21">
        <v>45873</v>
      </c>
      <c r="AE16" s="22">
        <v>45755</v>
      </c>
      <c r="AF16" s="23">
        <f t="shared" si="0"/>
        <v>138</v>
      </c>
      <c r="AG16" s="24" t="s">
        <v>54</v>
      </c>
      <c r="AH16" s="20">
        <v>0</v>
      </c>
      <c r="AI16" s="20"/>
      <c r="AJ16" s="20"/>
      <c r="AK16" s="20">
        <v>8945</v>
      </c>
      <c r="AL16" s="25">
        <v>815</v>
      </c>
      <c r="AM16" s="26">
        <v>9760</v>
      </c>
      <c r="AN16" s="25" t="s">
        <v>55</v>
      </c>
    </row>
    <row r="17" spans="1:40" s="25" customFormat="1" ht="30" customHeight="1">
      <c r="A17" s="16"/>
      <c r="B17" s="17">
        <v>16</v>
      </c>
      <c r="C17" s="18">
        <v>45867</v>
      </c>
      <c r="D17" s="19" t="s">
        <v>41</v>
      </c>
      <c r="E17" s="19" t="e" vm="10">
        <v>#VALUE!</v>
      </c>
      <c r="F17" s="19" t="s">
        <v>98</v>
      </c>
      <c r="G17" s="19" t="s">
        <v>43</v>
      </c>
      <c r="H17" s="19"/>
      <c r="I17" s="19" t="s">
        <v>99</v>
      </c>
      <c r="J17" s="19" t="s">
        <v>45</v>
      </c>
      <c r="K17" s="20"/>
      <c r="L17" s="20"/>
      <c r="M17" s="20"/>
      <c r="N17" s="20"/>
      <c r="O17" s="20"/>
      <c r="P17" s="20" t="s">
        <v>46</v>
      </c>
      <c r="Q17" s="20" t="s">
        <v>47</v>
      </c>
      <c r="R17" s="20" t="s">
        <v>48</v>
      </c>
      <c r="S17" s="20">
        <v>696</v>
      </c>
      <c r="T17" s="20"/>
      <c r="U17" s="20"/>
      <c r="V17" s="20" t="s">
        <v>49</v>
      </c>
      <c r="W17" s="20">
        <v>7186</v>
      </c>
      <c r="X17" s="20" t="s">
        <v>87</v>
      </c>
      <c r="Y17" s="20" t="s">
        <v>51</v>
      </c>
      <c r="Z17" s="20" t="s">
        <v>52</v>
      </c>
      <c r="AA17" s="20" t="s">
        <v>53</v>
      </c>
      <c r="AB17" s="20" t="s">
        <v>47</v>
      </c>
      <c r="AC17" s="21">
        <v>45733</v>
      </c>
      <c r="AD17" s="21">
        <v>45867</v>
      </c>
      <c r="AE17" s="22">
        <v>45777</v>
      </c>
      <c r="AF17" s="23">
        <f t="shared" si="0"/>
        <v>134</v>
      </c>
      <c r="AG17" s="24" t="s">
        <v>54</v>
      </c>
      <c r="AH17" s="20">
        <v>0</v>
      </c>
      <c r="AI17" s="20"/>
      <c r="AJ17" s="20"/>
      <c r="AK17" s="20">
        <v>8945</v>
      </c>
      <c r="AL17" s="25">
        <v>815</v>
      </c>
      <c r="AM17" s="26">
        <v>9760</v>
      </c>
      <c r="AN17" s="25" t="s">
        <v>55</v>
      </c>
    </row>
    <row r="18" spans="1:40" s="25" customFormat="1" ht="30" customHeight="1">
      <c r="A18" s="16"/>
      <c r="B18" s="17">
        <v>17</v>
      </c>
      <c r="C18" s="18">
        <v>45867</v>
      </c>
      <c r="D18" s="19" t="s">
        <v>41</v>
      </c>
      <c r="E18" s="19" t="e" vm="7">
        <v>#VALUE!</v>
      </c>
      <c r="F18" s="19" t="s">
        <v>88</v>
      </c>
      <c r="G18" s="19" t="s">
        <v>43</v>
      </c>
      <c r="H18" s="19"/>
      <c r="I18" s="19" t="s">
        <v>100</v>
      </c>
      <c r="J18" s="19" t="s">
        <v>45</v>
      </c>
      <c r="K18" s="20"/>
      <c r="L18" s="20"/>
      <c r="M18" s="20"/>
      <c r="N18" s="20"/>
      <c r="O18" s="20"/>
      <c r="P18" s="20" t="s">
        <v>46</v>
      </c>
      <c r="Q18" s="20" t="s">
        <v>47</v>
      </c>
      <c r="R18" s="20" t="s">
        <v>48</v>
      </c>
      <c r="S18" s="20">
        <v>696</v>
      </c>
      <c r="T18" s="20"/>
      <c r="U18" s="20"/>
      <c r="V18" s="20" t="s">
        <v>49</v>
      </c>
      <c r="W18" s="20">
        <v>4635</v>
      </c>
      <c r="X18" s="20" t="s">
        <v>79</v>
      </c>
      <c r="Y18" s="20" t="s">
        <v>51</v>
      </c>
      <c r="Z18" s="20" t="s">
        <v>52</v>
      </c>
      <c r="AA18" s="20" t="s">
        <v>53</v>
      </c>
      <c r="AB18" s="20" t="s">
        <v>47</v>
      </c>
      <c r="AC18" s="21">
        <v>45813</v>
      </c>
      <c r="AD18" s="21">
        <v>45867</v>
      </c>
      <c r="AE18" s="22">
        <v>45834</v>
      </c>
      <c r="AF18" s="23">
        <f t="shared" si="0"/>
        <v>54</v>
      </c>
      <c r="AG18" s="24" t="s">
        <v>101</v>
      </c>
      <c r="AH18" s="20">
        <v>0</v>
      </c>
      <c r="AI18" s="20"/>
      <c r="AJ18" s="20"/>
      <c r="AK18" s="20">
        <v>8945</v>
      </c>
      <c r="AL18" s="25">
        <v>815</v>
      </c>
      <c r="AM18" s="26">
        <v>9760</v>
      </c>
      <c r="AN18" s="25" t="s">
        <v>55</v>
      </c>
    </row>
    <row r="19" spans="1:40" s="25" customFormat="1" ht="30" customHeight="1">
      <c r="A19" s="16"/>
      <c r="B19" s="17">
        <v>18</v>
      </c>
      <c r="C19" s="18">
        <v>45887</v>
      </c>
      <c r="D19" s="19" t="s">
        <v>41</v>
      </c>
      <c r="E19" s="19" t="e" vm="8">
        <v>#VALUE!</v>
      </c>
      <c r="F19" s="19" t="s">
        <v>58</v>
      </c>
      <c r="G19" s="19" t="s">
        <v>43</v>
      </c>
      <c r="H19" s="19"/>
      <c r="I19" s="19" t="s">
        <v>102</v>
      </c>
      <c r="J19" s="19" t="s">
        <v>57</v>
      </c>
      <c r="K19" s="20"/>
      <c r="L19" s="20"/>
      <c r="M19" s="20"/>
      <c r="N19" s="20"/>
      <c r="O19" s="20"/>
      <c r="P19" s="20" t="s">
        <v>46</v>
      </c>
      <c r="Q19" s="20" t="s">
        <v>47</v>
      </c>
      <c r="R19" s="20" t="s">
        <v>48</v>
      </c>
      <c r="S19" s="20">
        <v>696</v>
      </c>
      <c r="T19" s="20"/>
      <c r="U19" s="20"/>
      <c r="V19" s="20" t="s">
        <v>49</v>
      </c>
      <c r="W19" s="20">
        <v>4065</v>
      </c>
      <c r="X19" s="20" t="s">
        <v>79</v>
      </c>
      <c r="Y19" s="20" t="s">
        <v>51</v>
      </c>
      <c r="Z19" s="20" t="s">
        <v>52</v>
      </c>
      <c r="AA19" s="20" t="s">
        <v>53</v>
      </c>
      <c r="AB19" s="20" t="s">
        <v>47</v>
      </c>
      <c r="AC19" s="21">
        <v>45685</v>
      </c>
      <c r="AD19" s="21">
        <v>45887</v>
      </c>
      <c r="AE19" s="22">
        <v>45756</v>
      </c>
      <c r="AF19" s="23">
        <f t="shared" si="0"/>
        <v>202</v>
      </c>
      <c r="AG19" s="24" t="s">
        <v>85</v>
      </c>
      <c r="AH19" s="20">
        <v>0</v>
      </c>
      <c r="AI19" s="20"/>
      <c r="AJ19" s="20"/>
      <c r="AK19" s="20">
        <v>8945</v>
      </c>
      <c r="AL19" s="25">
        <v>815</v>
      </c>
      <c r="AM19" s="26">
        <v>9760</v>
      </c>
      <c r="AN19" s="25" t="s">
        <v>55</v>
      </c>
    </row>
  </sheetData>
  <conditionalFormatting sqref="H1:H19">
    <cfRule type="duplicateValues" dxfId="6" priority="4"/>
    <cfRule type="duplicateValues" dxfId="5" priority="5"/>
    <cfRule type="duplicateValues" dxfId="4" priority="6"/>
    <cfRule type="duplicateValues" dxfId="3" priority="7"/>
  </conditionalFormatting>
  <conditionalFormatting sqref="I1:I19">
    <cfRule type="duplicateValues" dxfId="2" priority="1"/>
    <cfRule type="duplicateValues" dxfId="1" priority="2"/>
  </conditionalFormatting>
  <conditionalFormatting sqref="I1:I19">
    <cfRule type="duplicateValues" dxfId="0" priority="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KHARAT SUDESH</dc:creator>
  <cp:lastModifiedBy>KHARAT SUDESH</cp:lastModifiedBy>
  <dcterms:created xsi:type="dcterms:W3CDTF">2026-05-20T09:49:00Z</dcterms:created>
  <dcterms:modified xsi:type="dcterms:W3CDTF">2026-05-20T09:54:13Z</dcterms:modified>
</cp:coreProperties>
</file>